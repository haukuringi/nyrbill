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haukuringijohannsson/Downloads/"/>
    </mc:Choice>
  </mc:AlternateContent>
  <xr:revisionPtr revIDLastSave="0" documentId="8_{3689D89C-3EFC-DF44-BE89-7469E41ED602}" xr6:coauthVersionLast="47" xr6:coauthVersionMax="47" xr10:uidLastSave="{00000000-0000-0000-0000-000000000000}"/>
  <bookViews>
    <workbookView xWindow="0" yWindow="780" windowWidth="17060" windowHeight="21460" tabRatio="500" xr2:uid="{00000000-000D-0000-FFFF-FFFF00000000}"/>
  </bookViews>
  <sheets>
    <sheet name="Útfærslur" sheetId="1" r:id="rId1"/>
    <sheet name="Leiðbeiningar" sheetId="2" r:id="rId2"/>
    <sheet name="Stillingar" sheetId="3" r:id="rId3"/>
    <sheet name="Umboð" sheetId="4" r:id="rId4"/>
    <sheet name="Listar" sheetId="5" r:id="rId5"/>
  </sheets>
  <definedNames>
    <definedName name="_xlnm._FilterDatabase" localSheetId="0" hidden="1">Útfærslur!$A$1:$V$2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1" l="1"/>
  <c r="J2" i="1" s="1"/>
  <c r="J3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J5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Einkvæmt auðkenni útfærslu. Lágstafir, bandstrik, engir íslenskir stafir.
Eining: texti
Skylda: Já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Bílategund
Eining: texti
Skylda: Já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>Gerð / módel
Eining: texti
Skylda: Já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Heiti útfærslu eins og umboðið notar það
</t>
        </r>
        <r>
          <rPr>
            <sz val="10"/>
            <color rgb="FF000000"/>
            <rFont val="Arial"/>
            <family val="2"/>
          </rPr>
          <t xml:space="preserve">Eining: texti
</t>
        </r>
        <r>
          <rPr>
            <sz val="10"/>
            <color rgb="FF000000"/>
            <rFont val="Arial"/>
            <family val="2"/>
          </rPr>
          <t>Skylda: Já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Auðkenni umboðs, velja úr lista (af flipanum Umboð)
</t>
        </r>
        <r>
          <rPr>
            <sz val="10"/>
            <color rgb="FF000000"/>
            <rFont val="Arial"/>
            <family val="2"/>
          </rPr>
          <t xml:space="preserve">Eining: listi
</t>
        </r>
        <r>
          <rPr>
            <sz val="10"/>
            <color rgb="FF000000"/>
            <rFont val="Arial"/>
            <family val="2"/>
          </rPr>
          <t>Skylda: Já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Stærðar-/gerðarflokkur
Eining: listi
Skylda: Já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Árgerð
</t>
        </r>
        <r>
          <rPr>
            <sz val="10"/>
            <color rgb="FF000000"/>
            <rFont val="Arial"/>
            <family val="2"/>
          </rPr>
          <t xml:space="preserve">Eining: ártal
</t>
        </r>
        <r>
          <rPr>
            <sz val="10"/>
            <color rgb="FF000000"/>
            <rFont val="Arial"/>
            <family val="2"/>
          </rPr>
          <t>Skylda: Já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>Listaverð í krónum, bara tala
Eining: kr.
Skylda: Já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>REIKNAÐ – ekki skrifa hér. „já“ ef bíllinn uppfyllir skilyrði rafbílastyrks (sjá flipann Stillingar)
Eining: formúla
Skylda: –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  <family val="2"/>
          </rPr>
          <t xml:space="preserve">REIKNAÐ – ekki skrifa hér. Listaverð að frádregnum rafbílastyrk ef bíllinn er styrkhæfur
</t>
        </r>
        <r>
          <rPr>
            <sz val="10"/>
            <color rgb="FF000000"/>
            <rFont val="Arial"/>
            <family val="2"/>
          </rPr>
          <t xml:space="preserve">Eining: kr. (formúla)
</t>
        </r>
        <r>
          <rPr>
            <sz val="10"/>
            <color rgb="FF000000"/>
            <rFont val="Arial"/>
            <family val="2"/>
          </rPr>
          <t>Skylda: –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Orkugjafi
Eining: listi
Skylda: Já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>Drif
Eining: listi
Skylda: Já</t>
        </r>
      </text>
    </comment>
    <comment ref="M1" authorId="0" shapeId="0" xr:uid="{00000000-0006-0000-0000-00000D000000}">
      <text>
        <r>
          <rPr>
            <sz val="10"/>
            <rFont val="Arial"/>
            <family val="2"/>
          </rPr>
          <t>Afl
Eining: hö
Skylda: Nei</t>
        </r>
      </text>
    </comment>
    <comment ref="N1" authorId="0" shapeId="0" xr:uid="{00000000-0006-0000-0000-00000E000000}">
      <text>
        <r>
          <rPr>
            <sz val="10"/>
            <rFont val="Arial"/>
            <family val="2"/>
          </rPr>
          <t>Nýtanleg stærð rafhlöðu (tómt ef ekki við)
Eining: kWh
Skylda: Nei</t>
        </r>
      </text>
    </comment>
    <comment ref="O1" authorId="0" shapeId="0" xr:uid="{00000000-0006-0000-0000-00000F000000}">
      <text>
        <r>
          <rPr>
            <sz val="10"/>
            <rFont val="Arial"/>
            <family val="2"/>
          </rPr>
          <t>Drægni á rafmagni skv. WLTP (tómt ef ekki við)
Eining: km
Skylda: Nei</t>
        </r>
      </text>
    </comment>
    <comment ref="P1" authorId="0" shapeId="0" xr:uid="{00000000-0006-0000-0000-000010000000}">
      <text>
        <r>
          <rPr>
            <sz val="10"/>
            <rFont val="Arial"/>
            <family val="2"/>
          </rPr>
          <t>Blönduð eldsneytiseyðsla skv. WLTP (tómt fyrir hreina rafbíla)
Eining: l/100 km
Skylda: Nei</t>
        </r>
      </text>
    </comment>
    <comment ref="Q1" authorId="0" shapeId="0" xr:uid="{00000000-0006-0000-0000-000011000000}">
      <text>
        <r>
          <rPr>
            <sz val="10"/>
            <rFont val="Arial"/>
            <family val="2"/>
          </rPr>
          <t>Fjöldi sæta
Eining: fjöldi
Skylda: Nei</t>
        </r>
      </text>
    </comment>
    <comment ref="R1" authorId="0" shapeId="0" xr:uid="{00000000-0006-0000-0000-000012000000}">
      <text>
        <r>
          <rPr>
            <sz val="10"/>
            <color rgb="FF000000"/>
            <rFont val="Arial"/>
            <family val="2"/>
          </rPr>
          <t xml:space="preserve">Farangursrými
</t>
        </r>
        <r>
          <rPr>
            <sz val="10"/>
            <color rgb="FF000000"/>
            <rFont val="Arial"/>
            <family val="2"/>
          </rPr>
          <t xml:space="preserve">Eining: lítrar
</t>
        </r>
        <r>
          <rPr>
            <sz val="10"/>
            <color rgb="FF000000"/>
            <rFont val="Arial"/>
            <family val="2"/>
          </rPr>
          <t>Skylda: Nei</t>
        </r>
      </text>
    </comment>
    <comment ref="S1" authorId="0" shapeId="0" xr:uid="{00000000-0006-0000-0000-000013000000}">
      <text>
        <r>
          <rPr>
            <sz val="10"/>
            <rFont val="Arial"/>
            <family val="2"/>
          </rPr>
          <t>Hröðun 0–100 km/klst
Eining: sekúndur
Skylda: Nei</t>
        </r>
      </text>
    </comment>
    <comment ref="T1" authorId="0" shapeId="0" xr:uid="{00000000-0006-0000-0000-000014000000}">
      <text>
        <r>
          <rPr>
            <sz val="10"/>
            <rFont val="Arial"/>
            <family val="2"/>
          </rPr>
          <t>Slóð á verðlistann sem gögnin komu úr
Eining: slóð
Skylda: Já</t>
        </r>
      </text>
    </comment>
    <comment ref="U1" authorId="0" shapeId="0" xr:uid="{00000000-0006-0000-0000-000015000000}">
      <text>
        <r>
          <rPr>
            <sz val="10"/>
            <rFont val="Arial"/>
            <family val="2"/>
          </rPr>
          <t>Dagsetning þegar verðið var athugað
Eining: dagsetning
Skylda: Já</t>
        </r>
      </text>
    </comment>
    <comment ref="V1" authorId="0" shapeId="0" xr:uid="{00000000-0006-0000-0000-000016000000}">
      <text>
        <r>
          <rPr>
            <sz val="10"/>
            <rFont val="Arial"/>
            <family val="2"/>
          </rPr>
          <t>Frjáls texti, t.d. tilboð eða óvissa (birtist ekki endilega á síðunni)
Eining: texti
Skylda: Nei</t>
        </r>
      </text>
    </comment>
  </commentList>
</comments>
</file>

<file path=xl/sharedStrings.xml><?xml version="1.0" encoding="utf-8"?>
<sst xmlns="http://schemas.openxmlformats.org/spreadsheetml/2006/main" count="233" uniqueCount="141">
  <si>
    <t>id</t>
  </si>
  <si>
    <t>merki</t>
  </si>
  <si>
    <t>gerd</t>
  </si>
  <si>
    <t>utfaersla</t>
  </si>
  <si>
    <t>umbod</t>
  </si>
  <si>
    <t>flokkur</t>
  </si>
  <si>
    <t>arsgerd</t>
  </si>
  <si>
    <t>verd</t>
  </si>
  <si>
    <t>styrkhaef</t>
  </si>
  <si>
    <t>verd_med_styrk</t>
  </si>
  <si>
    <t>orkugjafi</t>
  </si>
  <si>
    <t>drif</t>
  </si>
  <si>
    <t>hestofl</t>
  </si>
  <si>
    <t>rafhlada_kwh</t>
  </si>
  <si>
    <t>draegni_km</t>
  </si>
  <si>
    <t>eydsla_l_100km</t>
  </si>
  <si>
    <t>saeti</t>
  </si>
  <si>
    <t>farangursrymi_l</t>
  </si>
  <si>
    <t>hrodun_0_100_s</t>
  </si>
  <si>
    <t>heimild</t>
  </si>
  <si>
    <t>uppfaert</t>
  </si>
  <si>
    <t>athugasemd</t>
  </si>
  <si>
    <t>kia-ev3-air-lr</t>
  </si>
  <si>
    <t>Kia</t>
  </si>
  <si>
    <t>EV3</t>
  </si>
  <si>
    <t>Air Long Range</t>
  </si>
  <si>
    <t>askja</t>
  </si>
  <si>
    <t>jepplingur</t>
  </si>
  <si>
    <t>rafmagn</t>
  </si>
  <si>
    <t>framhjoladrif</t>
  </si>
  <si>
    <t>Bílagögn – leiðbeiningar</t>
  </si>
  <si>
    <t>1. Skráðu umboðin fyrst í flipann „Umboð“. Auðkennið (id) er notað í fellilistanum í „Útfærslur“.</t>
  </si>
  <si>
    <t>2. Í flipanum „Útfærslur“ er hver lína EIN útfærsla. Sama gerð með þrjár útfærslur = þrjár línur.</t>
  </si>
  <si>
    <t>3. Gula línan er DÆMI með tilbúnum tölum. Eyddu henni þegar þú byrjar að skrá alvöru gögn.</t>
  </si>
  <si>
    <t>4. Ekki breyta heitunum í fyrstu línu (dálkaheitunum). Kóðinn á vefsíðunni notar þau.</t>
  </si>
  <si>
    <t>5. Verð og tölur: bara tölur, engin „kr.“, bil eða punktar. Aukastafir með punkti (7.9).</t>
  </si>
  <si>
    <t>6. Láttu reit vera tóman ef upplýsingin á ekki við eða er óþekkt. Ekki skrifa „0“ eða „–“.</t>
  </si>
  <si>
    <t>7. Gráu dálkarnir (styrkhaef, verd_med_styrk) reiknast sjálfir. Upphæð og skilyrði styrks eru í flipanum „Stillingar“.</t>
  </si>
  <si>
    <t>8. Nýir flokkar, orkugjafar eða drif: bættu þeim við í flipann „Listar“.</t>
  </si>
  <si>
    <t>Dálkur</t>
  </si>
  <si>
    <t>Lýsing</t>
  </si>
  <si>
    <t>Eining / snið</t>
  </si>
  <si>
    <t>Dæmi</t>
  </si>
  <si>
    <t>Skylda</t>
  </si>
  <si>
    <t>Einkvæmt auðkenni útfærslu. Lágstafir, bandstrik, engir íslenskir stafir.</t>
  </si>
  <si>
    <t>texti</t>
  </si>
  <si>
    <t>Já</t>
  </si>
  <si>
    <t>Bílategund</t>
  </si>
  <si>
    <t>Gerð / módel</t>
  </si>
  <si>
    <t>Heiti útfærslu eins og umboðið notar það</t>
  </si>
  <si>
    <t>Auðkenni umboðs, velja úr lista (af flipanum Umboð)</t>
  </si>
  <si>
    <t>listi</t>
  </si>
  <si>
    <t>Stærðar-/gerðarflokkur</t>
  </si>
  <si>
    <t>Árgerð</t>
  </si>
  <si>
    <t>ártal</t>
  </si>
  <si>
    <t>2026</t>
  </si>
  <si>
    <t>Listaverð í krónum, bara tala</t>
  </si>
  <si>
    <t>kr.</t>
  </si>
  <si>
    <t>5990000</t>
  </si>
  <si>
    <t>REIKNAÐ – ekki skrifa hér. „já“ ef bíllinn uppfyllir skilyrði rafbílastyrks (sjá flipann Stillingar)</t>
  </si>
  <si>
    <t>formúla</t>
  </si>
  <si>
    <t>já</t>
  </si>
  <si>
    <t>–</t>
  </si>
  <si>
    <t>REIKNAÐ – ekki skrifa hér. Listaverð að frádregnum rafbílastyrk ef bíllinn er styrkhæfur</t>
  </si>
  <si>
    <t>kr. (formúla)</t>
  </si>
  <si>
    <t>5490000</t>
  </si>
  <si>
    <t>Orkugjafi</t>
  </si>
  <si>
    <t>Drif</t>
  </si>
  <si>
    <t>Afl</t>
  </si>
  <si>
    <t>hö</t>
  </si>
  <si>
    <t>204</t>
  </si>
  <si>
    <t>Nei</t>
  </si>
  <si>
    <t>Nýtanleg stærð rafhlöðu (tómt ef ekki við)</t>
  </si>
  <si>
    <t>kWh</t>
  </si>
  <si>
    <t>81.4</t>
  </si>
  <si>
    <t>Drægni á rafmagni skv. WLTP (tómt ef ekki við)</t>
  </si>
  <si>
    <t>km</t>
  </si>
  <si>
    <t>600</t>
  </si>
  <si>
    <t>Blönduð eldsneytiseyðsla skv. WLTP (tómt fyrir hreina rafbíla)</t>
  </si>
  <si>
    <t>l/100 km</t>
  </si>
  <si>
    <t>Fjöldi sæta</t>
  </si>
  <si>
    <t>fjöldi</t>
  </si>
  <si>
    <t>5</t>
  </si>
  <si>
    <t>Farangursrými</t>
  </si>
  <si>
    <t>lítrar</t>
  </si>
  <si>
    <t>460</t>
  </si>
  <si>
    <t>Hröðun 0–100 km/klst</t>
  </si>
  <si>
    <t>sekúndur</t>
  </si>
  <si>
    <t>7.9</t>
  </si>
  <si>
    <t>Slóð á verðlistann sem gögnin komu úr</t>
  </si>
  <si>
    <t>slóð</t>
  </si>
  <si>
    <t>https://...</t>
  </si>
  <si>
    <t>Dagsetning þegar verðið var athugað</t>
  </si>
  <si>
    <t>dagsetning</t>
  </si>
  <si>
    <t>2026-09-22</t>
  </si>
  <si>
    <t>Frjáls texti, t.d. tilboð eða óvissa (birtist ekki endilega á síðunni)</t>
  </si>
  <si>
    <t>Rafbílastyrkur (Loftslags- og orkusjóður)</t>
  </si>
  <si>
    <t>Verðþak (bíll verður að kosta minna en)</t>
  </si>
  <si>
    <t>Styrkur fyrir nýjan fólksbíl</t>
  </si>
  <si>
    <t>Heimild: https://island.is/rafbilastyrkir (skoðað 22.09.2026). Upphæð frá 1. janúar 2026.</t>
  </si>
  <si>
    <t>Skilyrði: 100% rafbíll eða vetnisbíll (engin útblástur), kostar minna en verðþakið, fólksbíll (M1) eða sendibíll að 3,5 t (N1).</t>
  </si>
  <si>
    <t>Formúlan athugar orkugjafa og verð. Hún athugar ekki þyngd sendibíla – leiðréttu handvirkt ef þarf.</t>
  </si>
  <si>
    <t>Styrkurinn er greiddur eftir kaup, ekki dreginn frá við kaupin. Segðu það skýrt á vefsíðunni.</t>
  </si>
  <si>
    <t>Ef reglurnar breytast: breyttu bara gulu reitunum hér og allt uppfærist.</t>
  </si>
  <si>
    <t>nafn</t>
  </si>
  <si>
    <t>vefsida</t>
  </si>
  <si>
    <t>Dæmi í gulri línu. Bættu við umboðum fyrir neðan (id: lágstafir, engir íslenskir stafir).</t>
  </si>
  <si>
    <t>Askja</t>
  </si>
  <si>
    <t>https://www.askja.is</t>
  </si>
  <si>
    <t>Leyfð gildi fyrir fellilistana. Bættu nýjum gildum neðst í dálkinn (upp í línu 50).</t>
  </si>
  <si>
    <t>smabill</t>
  </si>
  <si>
    <t>folksbill</t>
  </si>
  <si>
    <t>vetni</t>
  </si>
  <si>
    <t>afturhjoladrif</t>
  </si>
  <si>
    <t>skutbill</t>
  </si>
  <si>
    <t>tengiltvinn</t>
  </si>
  <si>
    <t>fjorhjoladrif</t>
  </si>
  <si>
    <t>tvinn</t>
  </si>
  <si>
    <t>jeppi</t>
  </si>
  <si>
    <t>bensin</t>
  </si>
  <si>
    <t>fjolnotabill</t>
  </si>
  <si>
    <t>disil</t>
  </si>
  <si>
    <t>sendibill</t>
  </si>
  <si>
    <t>pallbill</t>
  </si>
  <si>
    <t>sportbill</t>
  </si>
  <si>
    <t>https://issuu.com/askja/docs/ev3_20240910?fr=sN2Y4MTg0NDM5MDk</t>
  </si>
  <si>
    <t>kia-ev3-air-sr</t>
  </si>
  <si>
    <t>Air  LR</t>
  </si>
  <si>
    <t>kia-ev3-earth-lr</t>
  </si>
  <si>
    <t>Air  SR</t>
  </si>
  <si>
    <t>Earth LR</t>
  </si>
  <si>
    <t>kia-ev3-gt-line-lr</t>
  </si>
  <si>
    <t>GT - Line LR</t>
  </si>
  <si>
    <t>VW</t>
  </si>
  <si>
    <t>ID.3</t>
  </si>
  <si>
    <t>volkswagen-id.3-life</t>
  </si>
  <si>
    <t>Life</t>
  </si>
  <si>
    <t>hekla</t>
  </si>
  <si>
    <t>Hekla</t>
  </si>
  <si>
    <t>https://www.hekla.is/is</t>
  </si>
  <si>
    <t>https://www.hekla.is/static/files/efni/verdlistar/vw/id3.pdf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</si>
</sst>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#,##0&quot; kr.&quot;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rgb="FF0000FF"/>
      <name val="Arial"/>
      <family val="2"/>
    </font>
    <font>
      <i/>
      <sz val="11"/>
      <color rgb="FF595959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11"/>
      <name val="Calibri"/>
      <family val="2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95959"/>
        <bgColor rgb="FF1F4E78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3" fontId="0" fillId="0" borderId="0" xfId="0" applyNumberFormat="1"/>
    <xf numFmtId="0" fontId="3" fillId="5" borderId="0" xfId="0" applyFont="1" applyFill="1"/>
    <xf numFmtId="3" fontId="3" fillId="5" borderId="0" xfId="0" applyNumberFormat="1" applyFont="1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  <xf numFmtId="166" fontId="7" fillId="6" borderId="1" xfId="0" applyNumberFormat="1" applyFont="1" applyFill="1" applyBorder="1"/>
    <xf numFmtId="0" fontId="8" fillId="0" borderId="0" xfId="0" applyFont="1"/>
    <xf numFmtId="0" fontId="10" fillId="4" borderId="1" xfId="1" applyFill="1" applyBorder="1"/>
    <xf numFmtId="0" fontId="10" fillId="0" borderId="0" xfId="1"/>
    <xf numFmtId="0" fontId="11" fillId="0" borderId="0" xfId="1" applyFon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ssuu.com/askja/docs/ev3_20240910?fr=sN2Y4MTg0NDM5MDk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issuu.com/askja/docs/ev3_20240910?fr=sN2Y4MTg0NDM5MDk" TargetMode="External"/><Relationship Id="rId1" Type="http://schemas.openxmlformats.org/officeDocument/2006/relationships/hyperlink" Target="https://issuu.com/askja/docs/ev3_20240910?fr=sN2Y4MTg0NDM5MDk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hekla.is/static/files/efni/verdlistar/vw/id3.pdf" TargetMode="External"/><Relationship Id="rId4" Type="http://schemas.openxmlformats.org/officeDocument/2006/relationships/hyperlink" Target="https://issuu.com/askja/docs/ev3_20240910?fr=sN2Y4MTg0NDM5M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="110" zoomScaleNormal="11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T7" sqref="T7"/>
    </sheetView>
  </sheetViews>
  <sheetFormatPr baseColWidth="10" defaultColWidth="8.6640625" defaultRowHeight="15" x14ac:dyDescent="0.2"/>
  <cols>
    <col min="1" max="1" width="20" customWidth="1"/>
    <col min="2" max="3" width="12" customWidth="1"/>
    <col min="4" max="4" width="20" customWidth="1"/>
    <col min="5" max="5" width="12" customWidth="1"/>
    <col min="6" max="6" width="14" customWidth="1"/>
    <col min="7" max="7" width="9" customWidth="1"/>
    <col min="8" max="8" width="13" customWidth="1"/>
    <col min="9" max="9" width="11" customWidth="1"/>
    <col min="10" max="10" width="15" customWidth="1"/>
    <col min="11" max="11" width="13" customWidth="1"/>
    <col min="12" max="12" width="15" customWidth="1"/>
    <col min="13" max="13" width="9" customWidth="1"/>
    <col min="14" max="14" width="13" customWidth="1"/>
    <col min="15" max="15" width="12" customWidth="1"/>
    <col min="16" max="16" width="15" customWidth="1"/>
    <col min="17" max="17" width="8" customWidth="1"/>
    <col min="18" max="19" width="15" customWidth="1"/>
    <col min="20" max="20" width="30" customWidth="1"/>
    <col min="21" max="21" width="12" customWidth="1"/>
    <col min="22" max="22" width="30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3" t="s">
        <v>22</v>
      </c>
      <c r="B2" s="3" t="s">
        <v>23</v>
      </c>
      <c r="C2" s="3" t="s">
        <v>24</v>
      </c>
      <c r="D2" s="3" t="s">
        <v>127</v>
      </c>
      <c r="E2" s="3" t="s">
        <v>26</v>
      </c>
      <c r="F2" s="3" t="s">
        <v>27</v>
      </c>
      <c r="G2" s="3">
        <v>2026</v>
      </c>
      <c r="H2" s="4">
        <v>6290777</v>
      </c>
      <c r="I2" s="3" t="str">
        <f>IF(H2="","",IF(AND(OR(K2="rafmagn",K2="vetni"),H2&lt;Stillingar!$B$2),"já","nei"))</f>
        <v>já</v>
      </c>
      <c r="J2" s="4">
        <f>IF(H2="","",IF(I2="já",H2-Stillingar!$B$3,H2))</f>
        <v>5790777</v>
      </c>
      <c r="K2" s="3" t="s">
        <v>28</v>
      </c>
      <c r="L2" s="3" t="s">
        <v>29</v>
      </c>
      <c r="M2" s="3">
        <v>201</v>
      </c>
      <c r="N2" s="5">
        <v>81.400000000000006</v>
      </c>
      <c r="O2" s="3">
        <v>605</v>
      </c>
      <c r="P2" s="5"/>
      <c r="Q2" s="3">
        <v>5</v>
      </c>
      <c r="R2" s="3">
        <v>460</v>
      </c>
      <c r="S2" s="5">
        <v>7.7</v>
      </c>
      <c r="T2" s="19" t="s">
        <v>125</v>
      </c>
      <c r="U2" s="6">
        <v>46287</v>
      </c>
      <c r="V2" s="3"/>
    </row>
    <row r="3" spans="1:22" x14ac:dyDescent="0.2">
      <c r="A3" s="21" t="s">
        <v>126</v>
      </c>
      <c r="B3" s="3" t="s">
        <v>23</v>
      </c>
      <c r="C3" t="s">
        <v>24</v>
      </c>
      <c r="D3" s="3" t="s">
        <v>129</v>
      </c>
      <c r="E3" t="s">
        <v>26</v>
      </c>
      <c r="F3" t="s">
        <v>27</v>
      </c>
      <c r="G3">
        <v>2026</v>
      </c>
      <c r="H3" s="7">
        <v>5690777</v>
      </c>
      <c r="I3" s="8" t="s">
        <v>61</v>
      </c>
      <c r="J3" s="9">
        <f>IF(H3="","",IF(I3="já",H3-Stillingar!$B$3,H3))</f>
        <v>5190777</v>
      </c>
      <c r="K3" t="s">
        <v>28</v>
      </c>
      <c r="L3" t="s">
        <v>29</v>
      </c>
      <c r="M3">
        <v>201</v>
      </c>
      <c r="N3" s="10">
        <v>58.3</v>
      </c>
      <c r="O3">
        <v>430</v>
      </c>
      <c r="P3" s="10"/>
      <c r="Q3">
        <v>5</v>
      </c>
      <c r="R3" s="10">
        <v>460</v>
      </c>
      <c r="S3" s="10">
        <v>7.4</v>
      </c>
      <c r="T3" s="19" t="s">
        <v>125</v>
      </c>
      <c r="U3" s="11">
        <v>46288</v>
      </c>
    </row>
    <row r="4" spans="1:22" x14ac:dyDescent="0.2">
      <c r="A4" s="3" t="s">
        <v>128</v>
      </c>
      <c r="B4" s="3" t="s">
        <v>23</v>
      </c>
      <c r="C4" t="s">
        <v>24</v>
      </c>
      <c r="D4" s="3" t="s">
        <v>130</v>
      </c>
      <c r="E4" t="s">
        <v>26</v>
      </c>
      <c r="F4" t="s">
        <v>27</v>
      </c>
      <c r="G4">
        <v>2026</v>
      </c>
      <c r="H4" s="7">
        <v>6890777</v>
      </c>
      <c r="I4" s="8" t="s">
        <v>61</v>
      </c>
      <c r="J4" s="9">
        <f>IF(H4="","",IF(I4="já",H4-Stillingar!$B$3,H4))</f>
        <v>6390777</v>
      </c>
      <c r="K4" t="s">
        <v>28</v>
      </c>
      <c r="L4" t="s">
        <v>29</v>
      </c>
      <c r="M4">
        <v>201</v>
      </c>
      <c r="N4" s="5">
        <v>81.400000000000006</v>
      </c>
      <c r="O4" s="3">
        <v>605</v>
      </c>
      <c r="P4" s="10"/>
      <c r="Q4">
        <v>5</v>
      </c>
      <c r="R4">
        <v>460</v>
      </c>
      <c r="S4" s="10">
        <v>7.7</v>
      </c>
      <c r="T4" s="19" t="s">
        <v>125</v>
      </c>
      <c r="U4" s="11">
        <v>46288</v>
      </c>
    </row>
    <row r="5" spans="1:22" x14ac:dyDescent="0.2">
      <c r="A5" s="3" t="s">
        <v>131</v>
      </c>
      <c r="B5" s="3" t="s">
        <v>23</v>
      </c>
      <c r="C5" t="s">
        <v>24</v>
      </c>
      <c r="D5" s="22" t="s">
        <v>132</v>
      </c>
      <c r="E5" t="s">
        <v>26</v>
      </c>
      <c r="F5" t="s">
        <v>27</v>
      </c>
      <c r="G5">
        <v>2026</v>
      </c>
      <c r="H5" s="7">
        <v>7690777</v>
      </c>
      <c r="I5" s="8" t="s">
        <v>61</v>
      </c>
      <c r="J5" s="9">
        <f>IF(H5="","",IF(I5="já",H5-Stillingar!$B$3,H5))</f>
        <v>7190777</v>
      </c>
      <c r="K5" t="s">
        <v>28</v>
      </c>
      <c r="L5" t="s">
        <v>29</v>
      </c>
      <c r="M5">
        <v>201</v>
      </c>
      <c r="N5" s="5">
        <v>81.400000000000006</v>
      </c>
      <c r="O5" s="3">
        <v>605</v>
      </c>
      <c r="P5" s="10"/>
      <c r="Q5">
        <v>5</v>
      </c>
      <c r="R5">
        <v>460</v>
      </c>
      <c r="S5" s="10">
        <v>7.7</v>
      </c>
      <c r="T5" s="19" t="s">
        <v>125</v>
      </c>
      <c r="U5" s="11">
        <v>46288</v>
      </c>
    </row>
    <row r="6" spans="1:22" x14ac:dyDescent="0.2">
      <c r="A6" s="23" t="s">
        <v>135</v>
      </c>
      <c r="B6" s="22" t="s">
        <v>133</v>
      </c>
      <c r="C6" t="s">
        <v>134</v>
      </c>
      <c r="D6" s="22" t="s">
        <v>136</v>
      </c>
      <c r="E6" t="s">
        <v>137</v>
      </c>
      <c r="F6" t="s">
        <v>111</v>
      </c>
      <c r="G6">
        <v>2026</v>
      </c>
      <c r="H6" s="7">
        <v>5790000</v>
      </c>
      <c r="I6" s="8" t="s">
        <v>61</v>
      </c>
      <c r="J6" s="9">
        <f>IF(H6="","",IF(I6="já",H6-Stillingar!$B$3,H6))</f>
        <v>5290000</v>
      </c>
      <c r="K6" t="s">
        <v>28</v>
      </c>
      <c r="L6" t="s">
        <v>113</v>
      </c>
      <c r="M6">
        <v>204</v>
      </c>
      <c r="N6" s="10">
        <v>59</v>
      </c>
      <c r="O6" s="24">
        <v>430</v>
      </c>
      <c r="P6" s="10"/>
      <c r="Q6">
        <v>5</v>
      </c>
      <c r="R6">
        <v>385</v>
      </c>
      <c r="S6" s="10">
        <v>7.6</v>
      </c>
      <c r="T6" s="20" t="s">
        <v>140</v>
      </c>
      <c r="U6" s="11">
        <v>46288</v>
      </c>
    </row>
    <row r="7" spans="1:22" x14ac:dyDescent="0.2">
      <c r="H7" s="7"/>
      <c r="I7" s="8" t="str">
        <f>IF(H7="","",IF(AND(OR(K7="rafmagn",K7="vetni"),H7&lt;Stillingar!$B$2),"já","nei"))</f>
        <v/>
      </c>
      <c r="J7" s="9" t="str">
        <f>IF(H7="","",IF(I7="já",H7-Stillingar!$B$3,H7))</f>
        <v/>
      </c>
      <c r="N7" s="10"/>
      <c r="P7" s="10"/>
      <c r="S7" s="10"/>
      <c r="U7" s="11"/>
    </row>
    <row r="8" spans="1:22" x14ac:dyDescent="0.2">
      <c r="H8" s="7"/>
      <c r="I8" s="8" t="str">
        <f>IF(H8="","",IF(AND(OR(K8="rafmagn",K8="vetni"),H8&lt;Stillingar!$B$2),"já","nei"))</f>
        <v/>
      </c>
      <c r="J8" s="9" t="str">
        <f>IF(H8="","",IF(I8="já",H8-Stillingar!$B$3,H8))</f>
        <v/>
      </c>
      <c r="N8" s="10"/>
      <c r="P8" s="10"/>
      <c r="S8" s="10"/>
      <c r="U8" s="11"/>
    </row>
    <row r="9" spans="1:22" x14ac:dyDescent="0.2">
      <c r="H9" s="7"/>
      <c r="I9" s="8" t="str">
        <f>IF(H9="","",IF(AND(OR(K9="rafmagn",K9="vetni"),H9&lt;Stillingar!$B$2),"já","nei"))</f>
        <v/>
      </c>
      <c r="J9" s="9" t="str">
        <f>IF(H9="","",IF(I9="já",H9-Stillingar!$B$3,H9))</f>
        <v/>
      </c>
      <c r="N9" s="10"/>
      <c r="P9" s="10"/>
      <c r="S9" s="10"/>
      <c r="U9" s="11"/>
    </row>
    <row r="10" spans="1:22" x14ac:dyDescent="0.2">
      <c r="H10" s="7"/>
      <c r="I10" s="8" t="str">
        <f>IF(H10="","",IF(AND(OR(K10="rafmagn",K10="vetni"),H10&lt;Stillingar!$B$2),"já","nei"))</f>
        <v/>
      </c>
      <c r="J10" s="9" t="str">
        <f>IF(H10="","",IF(I10="já",H10-Stillingar!$B$3,H10))</f>
        <v/>
      </c>
      <c r="N10" s="10"/>
      <c r="P10" s="10"/>
      <c r="S10" s="10"/>
      <c r="U10" s="11"/>
    </row>
    <row r="11" spans="1:22" x14ac:dyDescent="0.2">
      <c r="H11" s="7"/>
      <c r="I11" s="8" t="str">
        <f>IF(H11="","",IF(AND(OR(K11="rafmagn",K11="vetni"),H11&lt;Stillingar!$B$2),"já","nei"))</f>
        <v/>
      </c>
      <c r="J11" s="9" t="str">
        <f>IF(H11="","",IF(I11="já",H11-Stillingar!$B$3,H11))</f>
        <v/>
      </c>
      <c r="N11" s="10"/>
      <c r="P11" s="10"/>
      <c r="S11" s="10"/>
      <c r="U11" s="11"/>
    </row>
    <row r="12" spans="1:22" x14ac:dyDescent="0.2">
      <c r="H12" s="7"/>
      <c r="I12" s="8" t="str">
        <f>IF(H12="","",IF(AND(OR(K12="rafmagn",K12="vetni"),H12&lt;Stillingar!$B$2),"já","nei"))</f>
        <v/>
      </c>
      <c r="J12" s="9" t="str">
        <f>IF(H12="","",IF(I12="já",H12-Stillingar!$B$3,H12))</f>
        <v/>
      </c>
      <c r="N12" s="10"/>
      <c r="P12" s="10"/>
      <c r="S12" s="10"/>
      <c r="U12" s="11"/>
    </row>
    <row r="13" spans="1:22" x14ac:dyDescent="0.2">
      <c r="H13" s="7"/>
      <c r="I13" s="8" t="str">
        <f>IF(H13="","",IF(AND(OR(K13="rafmagn",K13="vetni"),H13&lt;Stillingar!$B$2),"já","nei"))</f>
        <v/>
      </c>
      <c r="J13" s="9" t="str">
        <f>IF(H13="","",IF(I13="já",H13-Stillingar!$B$3,H13))</f>
        <v/>
      </c>
      <c r="N13" s="10"/>
      <c r="P13" s="10"/>
      <c r="S13" s="10"/>
      <c r="U13" s="11"/>
    </row>
    <row r="14" spans="1:22" x14ac:dyDescent="0.2">
      <c r="H14" s="7"/>
      <c r="I14" s="8" t="str">
        <f>IF(H14="","",IF(AND(OR(K14="rafmagn",K14="vetni"),H14&lt;Stillingar!$B$2),"já","nei"))</f>
        <v/>
      </c>
      <c r="J14" s="9" t="str">
        <f>IF(H14="","",IF(I14="já",H14-Stillingar!$B$3,H14))</f>
        <v/>
      </c>
      <c r="N14" s="10"/>
      <c r="P14" s="10"/>
      <c r="S14" s="10"/>
      <c r="U14" s="11"/>
    </row>
    <row r="15" spans="1:22" x14ac:dyDescent="0.2">
      <c r="H15" s="7"/>
      <c r="I15" s="8" t="str">
        <f>IF(H15="","",IF(AND(OR(K15="rafmagn",K15="vetni"),H15&lt;Stillingar!$B$2),"já","nei"))</f>
        <v/>
      </c>
      <c r="J15" s="9" t="str">
        <f>IF(H15="","",IF(I15="já",H15-Stillingar!$B$3,H15))</f>
        <v/>
      </c>
      <c r="N15" s="10"/>
      <c r="P15" s="10"/>
      <c r="S15" s="10"/>
      <c r="U15" s="11"/>
    </row>
    <row r="16" spans="1:22" x14ac:dyDescent="0.2">
      <c r="H16" s="7"/>
      <c r="I16" s="8" t="str">
        <f>IF(H16="","",IF(AND(OR(K16="rafmagn",K16="vetni"),H16&lt;Stillingar!$B$2),"já","nei"))</f>
        <v/>
      </c>
      <c r="J16" s="9" t="str">
        <f>IF(H16="","",IF(I16="já",H16-Stillingar!$B$3,H16))</f>
        <v/>
      </c>
      <c r="N16" s="10"/>
      <c r="P16" s="10"/>
      <c r="S16" s="10"/>
      <c r="U16" s="11"/>
    </row>
    <row r="17" spans="8:21" x14ac:dyDescent="0.2">
      <c r="H17" s="7"/>
      <c r="I17" s="8" t="str">
        <f>IF(H17="","",IF(AND(OR(K17="rafmagn",K17="vetni"),H17&lt;Stillingar!$B$2),"já","nei"))</f>
        <v/>
      </c>
      <c r="J17" s="9" t="str">
        <f>IF(H17="","",IF(I17="já",H17-Stillingar!$B$3,H17))</f>
        <v/>
      </c>
      <c r="N17" s="10"/>
      <c r="P17" s="10"/>
      <c r="S17" s="10"/>
      <c r="U17" s="11"/>
    </row>
    <row r="18" spans="8:21" x14ac:dyDescent="0.2">
      <c r="H18" s="7"/>
      <c r="I18" s="8" t="str">
        <f>IF(H18="","",IF(AND(OR(K18="rafmagn",K18="vetni"),H18&lt;Stillingar!$B$2),"já","nei"))</f>
        <v/>
      </c>
      <c r="J18" s="9" t="str">
        <f>IF(H18="","",IF(I18="já",H18-Stillingar!$B$3,H18))</f>
        <v/>
      </c>
      <c r="N18" s="10"/>
      <c r="P18" s="10"/>
      <c r="S18" s="10"/>
      <c r="U18" s="11"/>
    </row>
    <row r="19" spans="8:21" x14ac:dyDescent="0.2">
      <c r="H19" s="7"/>
      <c r="I19" s="8" t="str">
        <f>IF(H19="","",IF(AND(OR(K19="rafmagn",K19="vetni"),H19&lt;Stillingar!$B$2),"já","nei"))</f>
        <v/>
      </c>
      <c r="J19" s="9" t="str">
        <f>IF(H19="","",IF(I19="já",H19-Stillingar!$B$3,H19))</f>
        <v/>
      </c>
      <c r="N19" s="10"/>
      <c r="P19" s="10"/>
      <c r="S19" s="10"/>
      <c r="U19" s="11"/>
    </row>
    <row r="20" spans="8:21" x14ac:dyDescent="0.2">
      <c r="H20" s="7"/>
      <c r="I20" s="8" t="str">
        <f>IF(H20="","",IF(AND(OR(K20="rafmagn",K20="vetni"),H20&lt;Stillingar!$B$2),"já","nei"))</f>
        <v/>
      </c>
      <c r="J20" s="9" t="str">
        <f>IF(H20="","",IF(I20="já",H20-Stillingar!$B$3,H20))</f>
        <v/>
      </c>
      <c r="N20" s="10"/>
      <c r="P20" s="10"/>
      <c r="S20" s="10"/>
      <c r="U20" s="11"/>
    </row>
    <row r="21" spans="8:21" x14ac:dyDescent="0.2">
      <c r="H21" s="7"/>
      <c r="I21" s="8" t="str">
        <f>IF(H21="","",IF(AND(OR(K21="rafmagn",K21="vetni"),H21&lt;Stillingar!$B$2),"já","nei"))</f>
        <v/>
      </c>
      <c r="J21" s="9" t="str">
        <f>IF(H21="","",IF(I21="já",H21-Stillingar!$B$3,H21))</f>
        <v/>
      </c>
      <c r="N21" s="10"/>
      <c r="P21" s="10"/>
      <c r="S21" s="10"/>
      <c r="U21" s="11"/>
    </row>
    <row r="22" spans="8:21" x14ac:dyDescent="0.2">
      <c r="H22" s="7"/>
      <c r="I22" s="8" t="str">
        <f>IF(H22="","",IF(AND(OR(K22="rafmagn",K22="vetni"),H22&lt;Stillingar!$B$2),"já","nei"))</f>
        <v/>
      </c>
      <c r="J22" s="9" t="str">
        <f>IF(H22="","",IF(I22="já",H22-Stillingar!$B$3,H22))</f>
        <v/>
      </c>
      <c r="N22" s="10"/>
      <c r="P22" s="10"/>
      <c r="S22" s="10"/>
      <c r="U22" s="11"/>
    </row>
    <row r="23" spans="8:21" x14ac:dyDescent="0.2">
      <c r="H23" s="7"/>
      <c r="I23" s="8" t="str">
        <f>IF(H23="","",IF(AND(OR(K23="rafmagn",K23="vetni"),H23&lt;Stillingar!$B$2),"já","nei"))</f>
        <v/>
      </c>
      <c r="J23" s="9" t="str">
        <f>IF(H23="","",IF(I23="já",H23-Stillingar!$B$3,H23))</f>
        <v/>
      </c>
      <c r="N23" s="10"/>
      <c r="P23" s="10"/>
      <c r="S23" s="10"/>
      <c r="U23" s="11"/>
    </row>
    <row r="24" spans="8:21" x14ac:dyDescent="0.2">
      <c r="H24" s="7"/>
      <c r="I24" s="8" t="str">
        <f>IF(H24="","",IF(AND(OR(K24="rafmagn",K24="vetni"),H24&lt;Stillingar!$B$2),"já","nei"))</f>
        <v/>
      </c>
      <c r="J24" s="9" t="str">
        <f>IF(H24="","",IF(I24="já",H24-Stillingar!$B$3,H24))</f>
        <v/>
      </c>
      <c r="N24" s="10"/>
      <c r="P24" s="10"/>
      <c r="S24" s="10"/>
      <c r="U24" s="11"/>
    </row>
    <row r="25" spans="8:21" x14ac:dyDescent="0.2">
      <c r="H25" s="7"/>
      <c r="I25" s="8" t="str">
        <f>IF(H25="","",IF(AND(OR(K25="rafmagn",K25="vetni"),H25&lt;Stillingar!$B$2),"já","nei"))</f>
        <v/>
      </c>
      <c r="J25" s="9" t="str">
        <f>IF(H25="","",IF(I25="já",H25-Stillingar!$B$3,H25))</f>
        <v/>
      </c>
      <c r="N25" s="10"/>
      <c r="P25" s="10"/>
      <c r="S25" s="10"/>
      <c r="U25" s="11"/>
    </row>
    <row r="26" spans="8:21" x14ac:dyDescent="0.2">
      <c r="H26" s="7"/>
      <c r="I26" s="8" t="str">
        <f>IF(H26="","",IF(AND(OR(K26="rafmagn",K26="vetni"),H26&lt;Stillingar!$B$2),"já","nei"))</f>
        <v/>
      </c>
      <c r="J26" s="9" t="str">
        <f>IF(H26="","",IF(I26="já",H26-Stillingar!$B$3,H26))</f>
        <v/>
      </c>
      <c r="N26" s="10"/>
      <c r="P26" s="10"/>
      <c r="S26" s="10"/>
      <c r="U26" s="11"/>
    </row>
    <row r="27" spans="8:21" x14ac:dyDescent="0.2">
      <c r="H27" s="7"/>
      <c r="I27" s="8" t="str">
        <f>IF(H27="","",IF(AND(OR(K27="rafmagn",K27="vetni"),H27&lt;Stillingar!$B$2),"já","nei"))</f>
        <v/>
      </c>
      <c r="J27" s="9" t="str">
        <f>IF(H27="","",IF(I27="já",H27-Stillingar!$B$3,H27))</f>
        <v/>
      </c>
      <c r="N27" s="10"/>
      <c r="P27" s="10"/>
      <c r="S27" s="10"/>
      <c r="U27" s="11"/>
    </row>
    <row r="28" spans="8:21" x14ac:dyDescent="0.2">
      <c r="H28" s="7"/>
      <c r="I28" s="8" t="str">
        <f>IF(H28="","",IF(AND(OR(K28="rafmagn",K28="vetni"),H28&lt;Stillingar!$B$2),"já","nei"))</f>
        <v/>
      </c>
      <c r="J28" s="9" t="str">
        <f>IF(H28="","",IF(I28="já",H28-Stillingar!$B$3,H28))</f>
        <v/>
      </c>
      <c r="N28" s="10"/>
      <c r="P28" s="10"/>
      <c r="S28" s="10"/>
      <c r="U28" s="11"/>
    </row>
    <row r="29" spans="8:21" x14ac:dyDescent="0.2">
      <c r="H29" s="7"/>
      <c r="I29" s="8" t="str">
        <f>IF(H29="","",IF(AND(OR(K29="rafmagn",K29="vetni"),H29&lt;Stillingar!$B$2),"já","nei"))</f>
        <v/>
      </c>
      <c r="J29" s="9" t="str">
        <f>IF(H29="","",IF(I29="já",H29-Stillingar!$B$3,H29))</f>
        <v/>
      </c>
      <c r="N29" s="10"/>
      <c r="P29" s="10"/>
      <c r="S29" s="10"/>
      <c r="U29" s="11"/>
    </row>
    <row r="30" spans="8:21" x14ac:dyDescent="0.2">
      <c r="H30" s="7"/>
      <c r="I30" s="8" t="str">
        <f>IF(H30="","",IF(AND(OR(K30="rafmagn",K30="vetni"),H30&lt;Stillingar!$B$2),"já","nei"))</f>
        <v/>
      </c>
      <c r="J30" s="9" t="str">
        <f>IF(H30="","",IF(I30="já",H30-Stillingar!$B$3,H30))</f>
        <v/>
      </c>
      <c r="N30" s="10"/>
      <c r="P30" s="10"/>
      <c r="S30" s="10"/>
      <c r="U30" s="11"/>
    </row>
    <row r="31" spans="8:21" x14ac:dyDescent="0.2">
      <c r="H31" s="7"/>
      <c r="I31" s="8" t="str">
        <f>IF(H31="","",IF(AND(OR(K31="rafmagn",K31="vetni"),H31&lt;Stillingar!$B$2),"já","nei"))</f>
        <v/>
      </c>
      <c r="J31" s="9" t="str">
        <f>IF(H31="","",IF(I31="já",H31-Stillingar!$B$3,H31))</f>
        <v/>
      </c>
      <c r="N31" s="10"/>
      <c r="P31" s="10"/>
      <c r="S31" s="10"/>
      <c r="U31" s="11"/>
    </row>
    <row r="32" spans="8:21" x14ac:dyDescent="0.2">
      <c r="H32" s="7"/>
      <c r="I32" s="8" t="str">
        <f>IF(H32="","",IF(AND(OR(K32="rafmagn",K32="vetni"),H32&lt;Stillingar!$B$2),"já","nei"))</f>
        <v/>
      </c>
      <c r="J32" s="9" t="str">
        <f>IF(H32="","",IF(I32="já",H32-Stillingar!$B$3,H32))</f>
        <v/>
      </c>
      <c r="N32" s="10"/>
      <c r="P32" s="10"/>
      <c r="S32" s="10"/>
      <c r="U32" s="11"/>
    </row>
    <row r="33" spans="8:21" x14ac:dyDescent="0.2">
      <c r="H33" s="7"/>
      <c r="I33" s="8" t="str">
        <f>IF(H33="","",IF(AND(OR(K33="rafmagn",K33="vetni"),H33&lt;Stillingar!$B$2),"já","nei"))</f>
        <v/>
      </c>
      <c r="J33" s="9" t="str">
        <f>IF(H33="","",IF(I33="já",H33-Stillingar!$B$3,H33))</f>
        <v/>
      </c>
      <c r="N33" s="10"/>
      <c r="P33" s="10"/>
      <c r="S33" s="10"/>
      <c r="U33" s="11"/>
    </row>
    <row r="34" spans="8:21" x14ac:dyDescent="0.2">
      <c r="H34" s="7"/>
      <c r="I34" s="8" t="str">
        <f>IF(H34="","",IF(AND(OR(K34="rafmagn",K34="vetni"),H34&lt;Stillingar!$B$2),"já","nei"))</f>
        <v/>
      </c>
      <c r="J34" s="9" t="str">
        <f>IF(H34="","",IF(I34="já",H34-Stillingar!$B$3,H34))</f>
        <v/>
      </c>
      <c r="N34" s="10"/>
      <c r="P34" s="10"/>
      <c r="S34" s="10"/>
      <c r="U34" s="11"/>
    </row>
    <row r="35" spans="8:21" x14ac:dyDescent="0.2">
      <c r="H35" s="7"/>
      <c r="I35" s="8" t="str">
        <f>IF(H35="","",IF(AND(OR(K35="rafmagn",K35="vetni"),H35&lt;Stillingar!$B$2),"já","nei"))</f>
        <v/>
      </c>
      <c r="J35" s="9" t="str">
        <f>IF(H35="","",IF(I35="já",H35-Stillingar!$B$3,H35))</f>
        <v/>
      </c>
      <c r="N35" s="10"/>
      <c r="P35" s="10"/>
      <c r="S35" s="10"/>
      <c r="U35" s="11"/>
    </row>
    <row r="36" spans="8:21" x14ac:dyDescent="0.2">
      <c r="H36" s="7"/>
      <c r="I36" s="8" t="str">
        <f>IF(H36="","",IF(AND(OR(K36="rafmagn",K36="vetni"),H36&lt;Stillingar!$B$2),"já","nei"))</f>
        <v/>
      </c>
      <c r="J36" s="9" t="str">
        <f>IF(H36="","",IF(I36="já",H36-Stillingar!$B$3,H36))</f>
        <v/>
      </c>
      <c r="N36" s="10"/>
      <c r="P36" s="10"/>
      <c r="S36" s="10"/>
      <c r="U36" s="11"/>
    </row>
    <row r="37" spans="8:21" x14ac:dyDescent="0.2">
      <c r="H37" s="7"/>
      <c r="I37" s="8" t="str">
        <f>IF(H37="","",IF(AND(OR(K37="rafmagn",K37="vetni"),H37&lt;Stillingar!$B$2),"já","nei"))</f>
        <v/>
      </c>
      <c r="J37" s="9" t="str">
        <f>IF(H37="","",IF(I37="já",H37-Stillingar!$B$3,H37))</f>
        <v/>
      </c>
      <c r="N37" s="10"/>
      <c r="P37" s="10"/>
      <c r="S37" s="10"/>
      <c r="U37" s="11"/>
    </row>
    <row r="38" spans="8:21" x14ac:dyDescent="0.2">
      <c r="H38" s="7"/>
      <c r="I38" s="8" t="str">
        <f>IF(H38="","",IF(AND(OR(K38="rafmagn",K38="vetni"),H38&lt;Stillingar!$B$2),"já","nei"))</f>
        <v/>
      </c>
      <c r="J38" s="9" t="str">
        <f>IF(H38="","",IF(I38="já",H38-Stillingar!$B$3,H38))</f>
        <v/>
      </c>
      <c r="N38" s="10"/>
      <c r="P38" s="10"/>
      <c r="S38" s="10"/>
      <c r="U38" s="11"/>
    </row>
    <row r="39" spans="8:21" x14ac:dyDescent="0.2">
      <c r="H39" s="7"/>
      <c r="I39" s="8" t="str">
        <f>IF(H39="","",IF(AND(OR(K39="rafmagn",K39="vetni"),H39&lt;Stillingar!$B$2),"já","nei"))</f>
        <v/>
      </c>
      <c r="J39" s="9" t="str">
        <f>IF(H39="","",IF(I39="já",H39-Stillingar!$B$3,H39))</f>
        <v/>
      </c>
      <c r="N39" s="10"/>
      <c r="P39" s="10"/>
      <c r="S39" s="10"/>
      <c r="U39" s="11"/>
    </row>
    <row r="40" spans="8:21" x14ac:dyDescent="0.2">
      <c r="H40" s="7"/>
      <c r="I40" s="8" t="str">
        <f>IF(H40="","",IF(AND(OR(K40="rafmagn",K40="vetni"),H40&lt;Stillingar!$B$2),"já","nei"))</f>
        <v/>
      </c>
      <c r="J40" s="9" t="str">
        <f>IF(H40="","",IF(I40="já",H40-Stillingar!$B$3,H40))</f>
        <v/>
      </c>
      <c r="N40" s="10"/>
      <c r="P40" s="10"/>
      <c r="S40" s="10"/>
      <c r="U40" s="11"/>
    </row>
    <row r="41" spans="8:21" x14ac:dyDescent="0.2">
      <c r="H41" s="7"/>
      <c r="I41" s="8" t="str">
        <f>IF(H41="","",IF(AND(OR(K41="rafmagn",K41="vetni"),H41&lt;Stillingar!$B$2),"já","nei"))</f>
        <v/>
      </c>
      <c r="J41" s="9" t="str">
        <f>IF(H41="","",IF(I41="já",H41-Stillingar!$B$3,H41))</f>
        <v/>
      </c>
      <c r="N41" s="10"/>
      <c r="P41" s="10"/>
      <c r="S41" s="10"/>
      <c r="U41" s="11"/>
    </row>
    <row r="42" spans="8:21" x14ac:dyDescent="0.2">
      <c r="H42" s="7"/>
      <c r="I42" s="8" t="str">
        <f>IF(H42="","",IF(AND(OR(K42="rafmagn",K42="vetni"),H42&lt;Stillingar!$B$2),"já","nei"))</f>
        <v/>
      </c>
      <c r="J42" s="9" t="str">
        <f>IF(H42="","",IF(I42="já",H42-Stillingar!$B$3,H42))</f>
        <v/>
      </c>
      <c r="N42" s="10"/>
      <c r="P42" s="10"/>
      <c r="S42" s="10"/>
      <c r="U42" s="11"/>
    </row>
    <row r="43" spans="8:21" x14ac:dyDescent="0.2">
      <c r="H43" s="7"/>
      <c r="I43" s="8" t="str">
        <f>IF(H43="","",IF(AND(OR(K43="rafmagn",K43="vetni"),H43&lt;Stillingar!$B$2),"já","nei"))</f>
        <v/>
      </c>
      <c r="J43" s="9" t="str">
        <f>IF(H43="","",IF(I43="já",H43-Stillingar!$B$3,H43))</f>
        <v/>
      </c>
      <c r="N43" s="10"/>
      <c r="P43" s="10"/>
      <c r="S43" s="10"/>
      <c r="U43" s="11"/>
    </row>
    <row r="44" spans="8:21" x14ac:dyDescent="0.2">
      <c r="H44" s="7"/>
      <c r="I44" s="8" t="str">
        <f>IF(H44="","",IF(AND(OR(K44="rafmagn",K44="vetni"),H44&lt;Stillingar!$B$2),"já","nei"))</f>
        <v/>
      </c>
      <c r="J44" s="9" t="str">
        <f>IF(H44="","",IF(I44="já",H44-Stillingar!$B$3,H44))</f>
        <v/>
      </c>
      <c r="N44" s="10"/>
      <c r="P44" s="10"/>
      <c r="S44" s="10"/>
      <c r="U44" s="11"/>
    </row>
    <row r="45" spans="8:21" x14ac:dyDescent="0.2">
      <c r="H45" s="7"/>
      <c r="I45" s="8" t="str">
        <f>IF(H45="","",IF(AND(OR(K45="rafmagn",K45="vetni"),H45&lt;Stillingar!$B$2),"já","nei"))</f>
        <v/>
      </c>
      <c r="J45" s="9" t="str">
        <f>IF(H45="","",IF(I45="já",H45-Stillingar!$B$3,H45))</f>
        <v/>
      </c>
      <c r="N45" s="10"/>
      <c r="P45" s="10"/>
      <c r="S45" s="10"/>
      <c r="U45" s="11"/>
    </row>
    <row r="46" spans="8:21" x14ac:dyDescent="0.2">
      <c r="H46" s="7"/>
      <c r="I46" s="8" t="str">
        <f>IF(H46="","",IF(AND(OR(K46="rafmagn",K46="vetni"),H46&lt;Stillingar!$B$2),"já","nei"))</f>
        <v/>
      </c>
      <c r="J46" s="9" t="str">
        <f>IF(H46="","",IF(I46="já",H46-Stillingar!$B$3,H46))</f>
        <v/>
      </c>
      <c r="N46" s="10"/>
      <c r="P46" s="10"/>
      <c r="S46" s="10"/>
      <c r="U46" s="11"/>
    </row>
    <row r="47" spans="8:21" x14ac:dyDescent="0.2">
      <c r="H47" s="7"/>
      <c r="I47" s="8" t="str">
        <f>IF(H47="","",IF(AND(OR(K47="rafmagn",K47="vetni"),H47&lt;Stillingar!$B$2),"já","nei"))</f>
        <v/>
      </c>
      <c r="J47" s="9" t="str">
        <f>IF(H47="","",IF(I47="já",H47-Stillingar!$B$3,H47))</f>
        <v/>
      </c>
      <c r="N47" s="10"/>
      <c r="P47" s="10"/>
      <c r="S47" s="10"/>
      <c r="U47" s="11"/>
    </row>
    <row r="48" spans="8:21" x14ac:dyDescent="0.2">
      <c r="H48" s="7"/>
      <c r="I48" s="8" t="str">
        <f>IF(H48="","",IF(AND(OR(K48="rafmagn",K48="vetni"),H48&lt;Stillingar!$B$2),"já","nei"))</f>
        <v/>
      </c>
      <c r="J48" s="9" t="str">
        <f>IF(H48="","",IF(I48="já",H48-Stillingar!$B$3,H48))</f>
        <v/>
      </c>
      <c r="N48" s="10"/>
      <c r="P48" s="10"/>
      <c r="S48" s="10"/>
      <c r="U48" s="11"/>
    </row>
    <row r="49" spans="8:21" x14ac:dyDescent="0.2">
      <c r="H49" s="7"/>
      <c r="I49" s="8" t="str">
        <f>IF(H49="","",IF(AND(OR(K49="rafmagn",K49="vetni"),H49&lt;Stillingar!$B$2),"já","nei"))</f>
        <v/>
      </c>
      <c r="J49" s="9" t="str">
        <f>IF(H49="","",IF(I49="já",H49-Stillingar!$B$3,H49))</f>
        <v/>
      </c>
      <c r="N49" s="10"/>
      <c r="P49" s="10"/>
      <c r="S49" s="10"/>
      <c r="U49" s="11"/>
    </row>
    <row r="50" spans="8:21" x14ac:dyDescent="0.2">
      <c r="H50" s="7"/>
      <c r="I50" s="8" t="str">
        <f>IF(H50="","",IF(AND(OR(K50="rafmagn",K50="vetni"),H50&lt;Stillingar!$B$2),"já","nei"))</f>
        <v/>
      </c>
      <c r="J50" s="9" t="str">
        <f>IF(H50="","",IF(I50="já",H50-Stillingar!$B$3,H50))</f>
        <v/>
      </c>
      <c r="N50" s="10"/>
      <c r="P50" s="10"/>
      <c r="S50" s="10"/>
      <c r="U50" s="11"/>
    </row>
    <row r="51" spans="8:21" x14ac:dyDescent="0.2">
      <c r="H51" s="7"/>
      <c r="I51" s="8" t="str">
        <f>IF(H51="","",IF(AND(OR(K51="rafmagn",K51="vetni"),H51&lt;Stillingar!$B$2),"já","nei"))</f>
        <v/>
      </c>
      <c r="J51" s="9" t="str">
        <f>IF(H51="","",IF(I51="já",H51-Stillingar!$B$3,H51))</f>
        <v/>
      </c>
      <c r="N51" s="10"/>
      <c r="P51" s="10"/>
      <c r="S51" s="10"/>
      <c r="U51" s="11"/>
    </row>
    <row r="52" spans="8:21" x14ac:dyDescent="0.2">
      <c r="H52" s="7"/>
      <c r="I52" s="8" t="str">
        <f>IF(H52="","",IF(AND(OR(K52="rafmagn",K52="vetni"),H52&lt;Stillingar!$B$2),"já","nei"))</f>
        <v/>
      </c>
      <c r="J52" s="9" t="str">
        <f>IF(H52="","",IF(I52="já",H52-Stillingar!$B$3,H52))</f>
        <v/>
      </c>
      <c r="N52" s="10"/>
      <c r="P52" s="10"/>
      <c r="S52" s="10"/>
      <c r="U52" s="11"/>
    </row>
    <row r="53" spans="8:21" x14ac:dyDescent="0.2">
      <c r="H53" s="7"/>
      <c r="I53" s="8" t="str">
        <f>IF(H53="","",IF(AND(OR(K53="rafmagn",K53="vetni"),H53&lt;Stillingar!$B$2),"já","nei"))</f>
        <v/>
      </c>
      <c r="J53" s="9" t="str">
        <f>IF(H53="","",IF(I53="já",H53-Stillingar!$B$3,H53))</f>
        <v/>
      </c>
      <c r="N53" s="10"/>
      <c r="P53" s="10"/>
      <c r="S53" s="10"/>
      <c r="U53" s="11"/>
    </row>
    <row r="54" spans="8:21" x14ac:dyDescent="0.2">
      <c r="H54" s="7"/>
      <c r="I54" s="8" t="str">
        <f>IF(H54="","",IF(AND(OR(K54="rafmagn",K54="vetni"),H54&lt;Stillingar!$B$2),"já","nei"))</f>
        <v/>
      </c>
      <c r="J54" s="9" t="str">
        <f>IF(H54="","",IF(I54="já",H54-Stillingar!$B$3,H54))</f>
        <v/>
      </c>
      <c r="N54" s="10"/>
      <c r="P54" s="10"/>
      <c r="S54" s="10"/>
      <c r="U54" s="11"/>
    </row>
    <row r="55" spans="8:21" x14ac:dyDescent="0.2">
      <c r="H55" s="7"/>
      <c r="I55" s="8" t="str">
        <f>IF(H55="","",IF(AND(OR(K55="rafmagn",K55="vetni"),H55&lt;Stillingar!$B$2),"já","nei"))</f>
        <v/>
      </c>
      <c r="J55" s="9" t="str">
        <f>IF(H55="","",IF(I55="já",H55-Stillingar!$B$3,H55))</f>
        <v/>
      </c>
      <c r="N55" s="10"/>
      <c r="P55" s="10"/>
      <c r="S55" s="10"/>
      <c r="U55" s="11"/>
    </row>
    <row r="56" spans="8:21" x14ac:dyDescent="0.2">
      <c r="H56" s="7"/>
      <c r="I56" s="8" t="str">
        <f>IF(H56="","",IF(AND(OR(K56="rafmagn",K56="vetni"),H56&lt;Stillingar!$B$2),"já","nei"))</f>
        <v/>
      </c>
      <c r="J56" s="9" t="str">
        <f>IF(H56="","",IF(I56="já",H56-Stillingar!$B$3,H56))</f>
        <v/>
      </c>
      <c r="N56" s="10"/>
      <c r="P56" s="10"/>
      <c r="S56" s="10"/>
      <c r="U56" s="11"/>
    </row>
    <row r="57" spans="8:21" x14ac:dyDescent="0.2">
      <c r="H57" s="7"/>
      <c r="I57" s="8" t="str">
        <f>IF(H57="","",IF(AND(OR(K57="rafmagn",K57="vetni"),H57&lt;Stillingar!$B$2),"já","nei"))</f>
        <v/>
      </c>
      <c r="J57" s="9" t="str">
        <f>IF(H57="","",IF(I57="já",H57-Stillingar!$B$3,H57))</f>
        <v/>
      </c>
      <c r="N57" s="10"/>
      <c r="P57" s="10"/>
      <c r="S57" s="10"/>
      <c r="U57" s="11"/>
    </row>
    <row r="58" spans="8:21" x14ac:dyDescent="0.2">
      <c r="H58" s="7"/>
      <c r="I58" s="8" t="str">
        <f>IF(H58="","",IF(AND(OR(K58="rafmagn",K58="vetni"),H58&lt;Stillingar!$B$2),"já","nei"))</f>
        <v/>
      </c>
      <c r="J58" s="9" t="str">
        <f>IF(H58="","",IF(I58="já",H58-Stillingar!$B$3,H58))</f>
        <v/>
      </c>
      <c r="N58" s="10"/>
      <c r="P58" s="10"/>
      <c r="S58" s="10"/>
      <c r="U58" s="11"/>
    </row>
    <row r="59" spans="8:21" x14ac:dyDescent="0.2">
      <c r="H59" s="7"/>
      <c r="I59" s="8" t="str">
        <f>IF(H59="","",IF(AND(OR(K59="rafmagn",K59="vetni"),H59&lt;Stillingar!$B$2),"já","nei"))</f>
        <v/>
      </c>
      <c r="J59" s="9" t="str">
        <f>IF(H59="","",IF(I59="já",H59-Stillingar!$B$3,H59))</f>
        <v/>
      </c>
      <c r="N59" s="10"/>
      <c r="P59" s="10"/>
      <c r="S59" s="10"/>
      <c r="U59" s="11"/>
    </row>
    <row r="60" spans="8:21" x14ac:dyDescent="0.2">
      <c r="H60" s="7"/>
      <c r="I60" s="8" t="str">
        <f>IF(H60="","",IF(AND(OR(K60="rafmagn",K60="vetni"),H60&lt;Stillingar!$B$2),"já","nei"))</f>
        <v/>
      </c>
      <c r="J60" s="9" t="str">
        <f>IF(H60="","",IF(I60="já",H60-Stillingar!$B$3,H60))</f>
        <v/>
      </c>
      <c r="N60" s="10"/>
      <c r="P60" s="10"/>
      <c r="S60" s="10"/>
      <c r="U60" s="11"/>
    </row>
    <row r="61" spans="8:21" x14ac:dyDescent="0.2">
      <c r="H61" s="7"/>
      <c r="I61" s="8" t="str">
        <f>IF(H61="","",IF(AND(OR(K61="rafmagn",K61="vetni"),H61&lt;Stillingar!$B$2),"já","nei"))</f>
        <v/>
      </c>
      <c r="J61" s="9" t="str">
        <f>IF(H61="","",IF(I61="já",H61-Stillingar!$B$3,H61))</f>
        <v/>
      </c>
      <c r="N61" s="10"/>
      <c r="P61" s="10"/>
      <c r="S61" s="10"/>
      <c r="U61" s="11"/>
    </row>
    <row r="62" spans="8:21" x14ac:dyDescent="0.2">
      <c r="H62" s="7"/>
      <c r="I62" s="8" t="str">
        <f>IF(H62="","",IF(AND(OR(K62="rafmagn",K62="vetni"),H62&lt;Stillingar!$B$2),"já","nei"))</f>
        <v/>
      </c>
      <c r="J62" s="9" t="str">
        <f>IF(H62="","",IF(I62="já",H62-Stillingar!$B$3,H62))</f>
        <v/>
      </c>
      <c r="N62" s="10"/>
      <c r="P62" s="10"/>
      <c r="S62" s="10"/>
      <c r="U62" s="11"/>
    </row>
    <row r="63" spans="8:21" x14ac:dyDescent="0.2">
      <c r="H63" s="7"/>
      <c r="I63" s="8" t="str">
        <f>IF(H63="","",IF(AND(OR(K63="rafmagn",K63="vetni"),H63&lt;Stillingar!$B$2),"já","nei"))</f>
        <v/>
      </c>
      <c r="J63" s="9" t="str">
        <f>IF(H63="","",IF(I63="já",H63-Stillingar!$B$3,H63))</f>
        <v/>
      </c>
      <c r="N63" s="10"/>
      <c r="P63" s="10"/>
      <c r="S63" s="10"/>
      <c r="U63" s="11"/>
    </row>
    <row r="64" spans="8:21" x14ac:dyDescent="0.2">
      <c r="H64" s="7"/>
      <c r="I64" s="8" t="str">
        <f>IF(H64="","",IF(AND(OR(K64="rafmagn",K64="vetni"),H64&lt;Stillingar!$B$2),"já","nei"))</f>
        <v/>
      </c>
      <c r="J64" s="9" t="str">
        <f>IF(H64="","",IF(I64="já",H64-Stillingar!$B$3,H64))</f>
        <v/>
      </c>
      <c r="N64" s="10"/>
      <c r="P64" s="10"/>
      <c r="S64" s="10"/>
      <c r="U64" s="11"/>
    </row>
    <row r="65" spans="8:21" x14ac:dyDescent="0.2">
      <c r="H65" s="7"/>
      <c r="I65" s="8" t="str">
        <f>IF(H65="","",IF(AND(OR(K65="rafmagn",K65="vetni"),H65&lt;Stillingar!$B$2),"já","nei"))</f>
        <v/>
      </c>
      <c r="J65" s="9" t="str">
        <f>IF(H65="","",IF(I65="já",H65-Stillingar!$B$3,H65))</f>
        <v/>
      </c>
      <c r="N65" s="10"/>
      <c r="P65" s="10"/>
      <c r="S65" s="10"/>
      <c r="U65" s="11"/>
    </row>
    <row r="66" spans="8:21" x14ac:dyDescent="0.2">
      <c r="H66" s="7"/>
      <c r="I66" s="8" t="str">
        <f>IF(H66="","",IF(AND(OR(K66="rafmagn",K66="vetni"),H66&lt;Stillingar!$B$2),"já","nei"))</f>
        <v/>
      </c>
      <c r="J66" s="9" t="str">
        <f>IF(H66="","",IF(I66="já",H66-Stillingar!$B$3,H66))</f>
        <v/>
      </c>
      <c r="N66" s="10"/>
      <c r="P66" s="10"/>
      <c r="S66" s="10"/>
      <c r="U66" s="11"/>
    </row>
    <row r="67" spans="8:21" x14ac:dyDescent="0.2">
      <c r="H67" s="7"/>
      <c r="I67" s="8" t="str">
        <f>IF(H67="","",IF(AND(OR(K67="rafmagn",K67="vetni"),H67&lt;Stillingar!$B$2),"já","nei"))</f>
        <v/>
      </c>
      <c r="J67" s="9" t="str">
        <f>IF(H67="","",IF(I67="já",H67-Stillingar!$B$3,H67))</f>
        <v/>
      </c>
      <c r="N67" s="10"/>
      <c r="P67" s="10"/>
      <c r="S67" s="10"/>
      <c r="U67" s="11"/>
    </row>
    <row r="68" spans="8:21" x14ac:dyDescent="0.2">
      <c r="H68" s="7"/>
      <c r="I68" s="8" t="str">
        <f>IF(H68="","",IF(AND(OR(K68="rafmagn",K68="vetni"),H68&lt;Stillingar!$B$2),"já","nei"))</f>
        <v/>
      </c>
      <c r="J68" s="9" t="str">
        <f>IF(H68="","",IF(I68="já",H68-Stillingar!$B$3,H68))</f>
        <v/>
      </c>
      <c r="N68" s="10"/>
      <c r="P68" s="10"/>
      <c r="S68" s="10"/>
      <c r="U68" s="11"/>
    </row>
    <row r="69" spans="8:21" x14ac:dyDescent="0.2">
      <c r="H69" s="7"/>
      <c r="I69" s="8" t="str">
        <f>IF(H69="","",IF(AND(OR(K69="rafmagn",K69="vetni"),H69&lt;Stillingar!$B$2),"já","nei"))</f>
        <v/>
      </c>
      <c r="J69" s="9" t="str">
        <f>IF(H69="","",IF(I69="já",H69-Stillingar!$B$3,H69))</f>
        <v/>
      </c>
      <c r="N69" s="10"/>
      <c r="P69" s="10"/>
      <c r="S69" s="10"/>
      <c r="U69" s="11"/>
    </row>
    <row r="70" spans="8:21" x14ac:dyDescent="0.2">
      <c r="H70" s="7"/>
      <c r="I70" s="8" t="str">
        <f>IF(H70="","",IF(AND(OR(K70="rafmagn",K70="vetni"),H70&lt;Stillingar!$B$2),"já","nei"))</f>
        <v/>
      </c>
      <c r="J70" s="9" t="str">
        <f>IF(H70="","",IF(I70="já",H70-Stillingar!$B$3,H70))</f>
        <v/>
      </c>
      <c r="N70" s="10"/>
      <c r="P70" s="10"/>
      <c r="S70" s="10"/>
      <c r="U70" s="11"/>
    </row>
    <row r="71" spans="8:21" x14ac:dyDescent="0.2">
      <c r="H71" s="7"/>
      <c r="I71" s="8" t="str">
        <f>IF(H71="","",IF(AND(OR(K71="rafmagn",K71="vetni"),H71&lt;Stillingar!$B$2),"já","nei"))</f>
        <v/>
      </c>
      <c r="J71" s="9" t="str">
        <f>IF(H71="","",IF(I71="já",H71-Stillingar!$B$3,H71))</f>
        <v/>
      </c>
      <c r="N71" s="10"/>
      <c r="P71" s="10"/>
      <c r="S71" s="10"/>
      <c r="U71" s="11"/>
    </row>
    <row r="72" spans="8:21" x14ac:dyDescent="0.2">
      <c r="H72" s="7"/>
      <c r="I72" s="8" t="str">
        <f>IF(H72="","",IF(AND(OR(K72="rafmagn",K72="vetni"),H72&lt;Stillingar!$B$2),"já","nei"))</f>
        <v/>
      </c>
      <c r="J72" s="9" t="str">
        <f>IF(H72="","",IF(I72="já",H72-Stillingar!$B$3,H72))</f>
        <v/>
      </c>
      <c r="N72" s="10"/>
      <c r="P72" s="10"/>
      <c r="S72" s="10"/>
      <c r="U72" s="11"/>
    </row>
    <row r="73" spans="8:21" x14ac:dyDescent="0.2">
      <c r="H73" s="7"/>
      <c r="I73" s="8" t="str">
        <f>IF(H73="","",IF(AND(OR(K73="rafmagn",K73="vetni"),H73&lt;Stillingar!$B$2),"já","nei"))</f>
        <v/>
      </c>
      <c r="J73" s="9" t="str">
        <f>IF(H73="","",IF(I73="já",H73-Stillingar!$B$3,H73))</f>
        <v/>
      </c>
      <c r="N73" s="10"/>
      <c r="P73" s="10"/>
      <c r="S73" s="10"/>
      <c r="U73" s="11"/>
    </row>
    <row r="74" spans="8:21" x14ac:dyDescent="0.2">
      <c r="H74" s="7"/>
      <c r="I74" s="8" t="str">
        <f>IF(H74="","",IF(AND(OR(K74="rafmagn",K74="vetni"),H74&lt;Stillingar!$B$2),"já","nei"))</f>
        <v/>
      </c>
      <c r="J74" s="9" t="str">
        <f>IF(H74="","",IF(I74="já",H74-Stillingar!$B$3,H74))</f>
        <v/>
      </c>
      <c r="N74" s="10"/>
      <c r="P74" s="10"/>
      <c r="S74" s="10"/>
      <c r="U74" s="11"/>
    </row>
    <row r="75" spans="8:21" x14ac:dyDescent="0.2">
      <c r="H75" s="7"/>
      <c r="I75" s="8" t="str">
        <f>IF(H75="","",IF(AND(OR(K75="rafmagn",K75="vetni"),H75&lt;Stillingar!$B$2),"já","nei"))</f>
        <v/>
      </c>
      <c r="J75" s="9" t="str">
        <f>IF(H75="","",IF(I75="já",H75-Stillingar!$B$3,H75))</f>
        <v/>
      </c>
      <c r="N75" s="10"/>
      <c r="P75" s="10"/>
      <c r="S75" s="10"/>
      <c r="U75" s="11"/>
    </row>
    <row r="76" spans="8:21" x14ac:dyDescent="0.2">
      <c r="H76" s="7"/>
      <c r="I76" s="8" t="str">
        <f>IF(H76="","",IF(AND(OR(K76="rafmagn",K76="vetni"),H76&lt;Stillingar!$B$2),"já","nei"))</f>
        <v/>
      </c>
      <c r="J76" s="9" t="str">
        <f>IF(H76="","",IF(I76="já",H76-Stillingar!$B$3,H76))</f>
        <v/>
      </c>
      <c r="N76" s="10"/>
      <c r="P76" s="10"/>
      <c r="S76" s="10"/>
      <c r="U76" s="11"/>
    </row>
    <row r="77" spans="8:21" x14ac:dyDescent="0.2">
      <c r="H77" s="7"/>
      <c r="I77" s="8" t="str">
        <f>IF(H77="","",IF(AND(OR(K77="rafmagn",K77="vetni"),H77&lt;Stillingar!$B$2),"já","nei"))</f>
        <v/>
      </c>
      <c r="J77" s="9" t="str">
        <f>IF(H77="","",IF(I77="já",H77-Stillingar!$B$3,H77))</f>
        <v/>
      </c>
      <c r="N77" s="10"/>
      <c r="P77" s="10"/>
      <c r="S77" s="10"/>
      <c r="U77" s="11"/>
    </row>
    <row r="78" spans="8:21" x14ac:dyDescent="0.2">
      <c r="H78" s="7"/>
      <c r="I78" s="8" t="str">
        <f>IF(H78="","",IF(AND(OR(K78="rafmagn",K78="vetni"),H78&lt;Stillingar!$B$2),"já","nei"))</f>
        <v/>
      </c>
      <c r="J78" s="9" t="str">
        <f>IF(H78="","",IF(I78="já",H78-Stillingar!$B$3,H78))</f>
        <v/>
      </c>
      <c r="N78" s="10"/>
      <c r="P78" s="10"/>
      <c r="S78" s="10"/>
      <c r="U78" s="11"/>
    </row>
    <row r="79" spans="8:21" x14ac:dyDescent="0.2">
      <c r="H79" s="7"/>
      <c r="I79" s="8" t="str">
        <f>IF(H79="","",IF(AND(OR(K79="rafmagn",K79="vetni"),H79&lt;Stillingar!$B$2),"já","nei"))</f>
        <v/>
      </c>
      <c r="J79" s="9" t="str">
        <f>IF(H79="","",IF(I79="já",H79-Stillingar!$B$3,H79))</f>
        <v/>
      </c>
      <c r="N79" s="10"/>
      <c r="P79" s="10"/>
      <c r="S79" s="10"/>
      <c r="U79" s="11"/>
    </row>
    <row r="80" spans="8:21" x14ac:dyDescent="0.2">
      <c r="H80" s="7"/>
      <c r="I80" s="8" t="str">
        <f>IF(H80="","",IF(AND(OR(K80="rafmagn",K80="vetni"),H80&lt;Stillingar!$B$2),"já","nei"))</f>
        <v/>
      </c>
      <c r="J80" s="9" t="str">
        <f>IF(H80="","",IF(I80="já",H80-Stillingar!$B$3,H80))</f>
        <v/>
      </c>
      <c r="N80" s="10"/>
      <c r="P80" s="10"/>
      <c r="S80" s="10"/>
      <c r="U80" s="11"/>
    </row>
    <row r="81" spans="8:21" x14ac:dyDescent="0.2">
      <c r="H81" s="7"/>
      <c r="I81" s="8" t="str">
        <f>IF(H81="","",IF(AND(OR(K81="rafmagn",K81="vetni"),H81&lt;Stillingar!$B$2),"já","nei"))</f>
        <v/>
      </c>
      <c r="J81" s="9" t="str">
        <f>IF(H81="","",IF(I81="já",H81-Stillingar!$B$3,H81))</f>
        <v/>
      </c>
      <c r="N81" s="10"/>
      <c r="P81" s="10"/>
      <c r="S81" s="10"/>
      <c r="U81" s="11"/>
    </row>
    <row r="82" spans="8:21" x14ac:dyDescent="0.2">
      <c r="H82" s="7"/>
      <c r="I82" s="8" t="str">
        <f>IF(H82="","",IF(AND(OR(K82="rafmagn",K82="vetni"),H82&lt;Stillingar!$B$2),"já","nei"))</f>
        <v/>
      </c>
      <c r="J82" s="9" t="str">
        <f>IF(H82="","",IF(I82="já",H82-Stillingar!$B$3,H82))</f>
        <v/>
      </c>
      <c r="N82" s="10"/>
      <c r="P82" s="10"/>
      <c r="S82" s="10"/>
      <c r="U82" s="11"/>
    </row>
    <row r="83" spans="8:21" x14ac:dyDescent="0.2">
      <c r="H83" s="7"/>
      <c r="I83" s="8" t="str">
        <f>IF(H83="","",IF(AND(OR(K83="rafmagn",K83="vetni"),H83&lt;Stillingar!$B$2),"já","nei"))</f>
        <v/>
      </c>
      <c r="J83" s="9" t="str">
        <f>IF(H83="","",IF(I83="já",H83-Stillingar!$B$3,H83))</f>
        <v/>
      </c>
      <c r="N83" s="10"/>
      <c r="P83" s="10"/>
      <c r="S83" s="10"/>
      <c r="U83" s="11"/>
    </row>
    <row r="84" spans="8:21" x14ac:dyDescent="0.2">
      <c r="H84" s="7"/>
      <c r="I84" s="8" t="str">
        <f>IF(H84="","",IF(AND(OR(K84="rafmagn",K84="vetni"),H84&lt;Stillingar!$B$2),"já","nei"))</f>
        <v/>
      </c>
      <c r="J84" s="9" t="str">
        <f>IF(H84="","",IF(I84="já",H84-Stillingar!$B$3,H84))</f>
        <v/>
      </c>
      <c r="N84" s="10"/>
      <c r="P84" s="10"/>
      <c r="S84" s="10"/>
      <c r="U84" s="11"/>
    </row>
    <row r="85" spans="8:21" x14ac:dyDescent="0.2">
      <c r="H85" s="7"/>
      <c r="I85" s="8" t="str">
        <f>IF(H85="","",IF(AND(OR(K85="rafmagn",K85="vetni"),H85&lt;Stillingar!$B$2),"já","nei"))</f>
        <v/>
      </c>
      <c r="J85" s="9" t="str">
        <f>IF(H85="","",IF(I85="já",H85-Stillingar!$B$3,H85))</f>
        <v/>
      </c>
      <c r="N85" s="10"/>
      <c r="P85" s="10"/>
      <c r="S85" s="10"/>
      <c r="U85" s="11"/>
    </row>
    <row r="86" spans="8:21" x14ac:dyDescent="0.2">
      <c r="H86" s="7"/>
      <c r="I86" s="8" t="str">
        <f>IF(H86="","",IF(AND(OR(K86="rafmagn",K86="vetni"),H86&lt;Stillingar!$B$2),"já","nei"))</f>
        <v/>
      </c>
      <c r="J86" s="9" t="str">
        <f>IF(H86="","",IF(I86="já",H86-Stillingar!$B$3,H86))</f>
        <v/>
      </c>
      <c r="N86" s="10"/>
      <c r="P86" s="10"/>
      <c r="S86" s="10"/>
      <c r="U86" s="11"/>
    </row>
    <row r="87" spans="8:21" x14ac:dyDescent="0.2">
      <c r="H87" s="7"/>
      <c r="I87" s="8" t="str">
        <f>IF(H87="","",IF(AND(OR(K87="rafmagn",K87="vetni"),H87&lt;Stillingar!$B$2),"já","nei"))</f>
        <v/>
      </c>
      <c r="J87" s="9" t="str">
        <f>IF(H87="","",IF(I87="já",H87-Stillingar!$B$3,H87))</f>
        <v/>
      </c>
      <c r="N87" s="10"/>
      <c r="P87" s="10"/>
      <c r="S87" s="10"/>
      <c r="U87" s="11"/>
    </row>
    <row r="88" spans="8:21" x14ac:dyDescent="0.2">
      <c r="H88" s="7"/>
      <c r="I88" s="8" t="str">
        <f>IF(H88="","",IF(AND(OR(K88="rafmagn",K88="vetni"),H88&lt;Stillingar!$B$2),"já","nei"))</f>
        <v/>
      </c>
      <c r="J88" s="9" t="str">
        <f>IF(H88="","",IF(I88="já",H88-Stillingar!$B$3,H88))</f>
        <v/>
      </c>
      <c r="N88" s="10"/>
      <c r="P88" s="10"/>
      <c r="S88" s="10"/>
      <c r="U88" s="11"/>
    </row>
    <row r="89" spans="8:21" x14ac:dyDescent="0.2">
      <c r="H89" s="7"/>
      <c r="I89" s="8" t="str">
        <f>IF(H89="","",IF(AND(OR(K89="rafmagn",K89="vetni"),H89&lt;Stillingar!$B$2),"já","nei"))</f>
        <v/>
      </c>
      <c r="J89" s="9" t="str">
        <f>IF(H89="","",IF(I89="já",H89-Stillingar!$B$3,H89))</f>
        <v/>
      </c>
      <c r="N89" s="10"/>
      <c r="P89" s="10"/>
      <c r="S89" s="10"/>
      <c r="U89" s="11"/>
    </row>
    <row r="90" spans="8:21" x14ac:dyDescent="0.2">
      <c r="H90" s="7"/>
      <c r="I90" s="8" t="str">
        <f>IF(H90="","",IF(AND(OR(K90="rafmagn",K90="vetni"),H90&lt;Stillingar!$B$2),"já","nei"))</f>
        <v/>
      </c>
      <c r="J90" s="9" t="str">
        <f>IF(H90="","",IF(I90="já",H90-Stillingar!$B$3,H90))</f>
        <v/>
      </c>
      <c r="N90" s="10"/>
      <c r="P90" s="10"/>
      <c r="S90" s="10"/>
      <c r="U90" s="11"/>
    </row>
    <row r="91" spans="8:21" x14ac:dyDescent="0.2">
      <c r="H91" s="7"/>
      <c r="I91" s="8" t="str">
        <f>IF(H91="","",IF(AND(OR(K91="rafmagn",K91="vetni"),H91&lt;Stillingar!$B$2),"já","nei"))</f>
        <v/>
      </c>
      <c r="J91" s="9" t="str">
        <f>IF(H91="","",IF(I91="já",H91-Stillingar!$B$3,H91))</f>
        <v/>
      </c>
      <c r="N91" s="10"/>
      <c r="P91" s="10"/>
      <c r="S91" s="10"/>
      <c r="U91" s="11"/>
    </row>
    <row r="92" spans="8:21" x14ac:dyDescent="0.2">
      <c r="H92" s="7"/>
      <c r="I92" s="8" t="str">
        <f>IF(H92="","",IF(AND(OR(K92="rafmagn",K92="vetni"),H92&lt;Stillingar!$B$2),"já","nei"))</f>
        <v/>
      </c>
      <c r="J92" s="9" t="str">
        <f>IF(H92="","",IF(I92="já",H92-Stillingar!$B$3,H92))</f>
        <v/>
      </c>
      <c r="N92" s="10"/>
      <c r="P92" s="10"/>
      <c r="S92" s="10"/>
      <c r="U92" s="11"/>
    </row>
    <row r="93" spans="8:21" x14ac:dyDescent="0.2">
      <c r="H93" s="7"/>
      <c r="I93" s="8" t="str">
        <f>IF(H93="","",IF(AND(OR(K93="rafmagn",K93="vetni"),H93&lt;Stillingar!$B$2),"já","nei"))</f>
        <v/>
      </c>
      <c r="J93" s="9" t="str">
        <f>IF(H93="","",IF(I93="já",H93-Stillingar!$B$3,H93))</f>
        <v/>
      </c>
      <c r="N93" s="10"/>
      <c r="P93" s="10"/>
      <c r="S93" s="10"/>
      <c r="U93" s="11"/>
    </row>
    <row r="94" spans="8:21" x14ac:dyDescent="0.2">
      <c r="H94" s="7"/>
      <c r="I94" s="8" t="str">
        <f>IF(H94="","",IF(AND(OR(K94="rafmagn",K94="vetni"),H94&lt;Stillingar!$B$2),"já","nei"))</f>
        <v/>
      </c>
      <c r="J94" s="9" t="str">
        <f>IF(H94="","",IF(I94="já",H94-Stillingar!$B$3,H94))</f>
        <v/>
      </c>
      <c r="N94" s="10"/>
      <c r="P94" s="10"/>
      <c r="S94" s="10"/>
      <c r="U94" s="11"/>
    </row>
    <row r="95" spans="8:21" x14ac:dyDescent="0.2">
      <c r="H95" s="7"/>
      <c r="I95" s="8" t="str">
        <f>IF(H95="","",IF(AND(OR(K95="rafmagn",K95="vetni"),H95&lt;Stillingar!$B$2),"já","nei"))</f>
        <v/>
      </c>
      <c r="J95" s="9" t="str">
        <f>IF(H95="","",IF(I95="já",H95-Stillingar!$B$3,H95))</f>
        <v/>
      </c>
      <c r="N95" s="10"/>
      <c r="P95" s="10"/>
      <c r="S95" s="10"/>
      <c r="U95" s="11"/>
    </row>
    <row r="96" spans="8:21" x14ac:dyDescent="0.2">
      <c r="H96" s="7"/>
      <c r="I96" s="8" t="str">
        <f>IF(H96="","",IF(AND(OR(K96="rafmagn",K96="vetni"),H96&lt;Stillingar!$B$2),"já","nei"))</f>
        <v/>
      </c>
      <c r="J96" s="9" t="str">
        <f>IF(H96="","",IF(I96="já",H96-Stillingar!$B$3,H96))</f>
        <v/>
      </c>
      <c r="N96" s="10"/>
      <c r="P96" s="10"/>
      <c r="S96" s="10"/>
      <c r="U96" s="11"/>
    </row>
    <row r="97" spans="8:21" x14ac:dyDescent="0.2">
      <c r="H97" s="7"/>
      <c r="I97" s="8" t="str">
        <f>IF(H97="","",IF(AND(OR(K97="rafmagn",K97="vetni"),H97&lt;Stillingar!$B$2),"já","nei"))</f>
        <v/>
      </c>
      <c r="J97" s="9" t="str">
        <f>IF(H97="","",IF(I97="já",H97-Stillingar!$B$3,H97))</f>
        <v/>
      </c>
      <c r="N97" s="10"/>
      <c r="P97" s="10"/>
      <c r="S97" s="10"/>
      <c r="U97" s="11"/>
    </row>
    <row r="98" spans="8:21" x14ac:dyDescent="0.2">
      <c r="H98" s="7"/>
      <c r="I98" s="8" t="str">
        <f>IF(H98="","",IF(AND(OR(K98="rafmagn",K98="vetni"),H98&lt;Stillingar!$B$2),"já","nei"))</f>
        <v/>
      </c>
      <c r="J98" s="9" t="str">
        <f>IF(H98="","",IF(I98="já",H98-Stillingar!$B$3,H98))</f>
        <v/>
      </c>
      <c r="N98" s="10"/>
      <c r="P98" s="10"/>
      <c r="S98" s="10"/>
      <c r="U98" s="11"/>
    </row>
    <row r="99" spans="8:21" x14ac:dyDescent="0.2">
      <c r="H99" s="7"/>
      <c r="I99" s="8" t="str">
        <f>IF(H99="","",IF(AND(OR(K99="rafmagn",K99="vetni"),H99&lt;Stillingar!$B$2),"já","nei"))</f>
        <v/>
      </c>
      <c r="J99" s="9" t="str">
        <f>IF(H99="","",IF(I99="já",H99-Stillingar!$B$3,H99))</f>
        <v/>
      </c>
      <c r="N99" s="10"/>
      <c r="P99" s="10"/>
      <c r="S99" s="10"/>
      <c r="U99" s="11"/>
    </row>
    <row r="100" spans="8:21" x14ac:dyDescent="0.2">
      <c r="H100" s="7"/>
      <c r="I100" s="8" t="str">
        <f>IF(H100="","",IF(AND(OR(K100="rafmagn",K100="vetni"),H100&lt;Stillingar!$B$2),"já","nei"))</f>
        <v/>
      </c>
      <c r="J100" s="9" t="str">
        <f>IF(H100="","",IF(I100="já",H100-Stillingar!$B$3,H100))</f>
        <v/>
      </c>
      <c r="N100" s="10"/>
      <c r="P100" s="10"/>
      <c r="S100" s="10"/>
      <c r="U100" s="11"/>
    </row>
    <row r="101" spans="8:21" x14ac:dyDescent="0.2">
      <c r="H101" s="7"/>
      <c r="I101" s="8" t="str">
        <f>IF(H101="","",IF(AND(OR(K101="rafmagn",K101="vetni"),H101&lt;Stillingar!$B$2),"já","nei"))</f>
        <v/>
      </c>
      <c r="J101" s="9" t="str">
        <f>IF(H101="","",IF(I101="já",H101-Stillingar!$B$3,H101))</f>
        <v/>
      </c>
      <c r="N101" s="10"/>
      <c r="P101" s="10"/>
      <c r="S101" s="10"/>
      <c r="U101" s="11"/>
    </row>
    <row r="102" spans="8:21" x14ac:dyDescent="0.2">
      <c r="H102" s="7"/>
      <c r="I102" s="8" t="str">
        <f>IF(H102="","",IF(AND(OR(K102="rafmagn",K102="vetni"),H102&lt;Stillingar!$B$2),"já","nei"))</f>
        <v/>
      </c>
      <c r="J102" s="9" t="str">
        <f>IF(H102="","",IF(I102="já",H102-Stillingar!$B$3,H102))</f>
        <v/>
      </c>
      <c r="N102" s="10"/>
      <c r="P102" s="10"/>
      <c r="S102" s="10"/>
      <c r="U102" s="11"/>
    </row>
    <row r="103" spans="8:21" x14ac:dyDescent="0.2">
      <c r="H103" s="7"/>
      <c r="I103" s="8" t="str">
        <f>IF(H103="","",IF(AND(OR(K103="rafmagn",K103="vetni"),H103&lt;Stillingar!$B$2),"já","nei"))</f>
        <v/>
      </c>
      <c r="J103" s="9" t="str">
        <f>IF(H103="","",IF(I103="já",H103-Stillingar!$B$3,H103))</f>
        <v/>
      </c>
      <c r="N103" s="10"/>
      <c r="P103" s="10"/>
      <c r="S103" s="10"/>
      <c r="U103" s="11"/>
    </row>
    <row r="104" spans="8:21" x14ac:dyDescent="0.2">
      <c r="H104" s="7"/>
      <c r="I104" s="8" t="str">
        <f>IF(H104="","",IF(AND(OR(K104="rafmagn",K104="vetni"),H104&lt;Stillingar!$B$2),"já","nei"))</f>
        <v/>
      </c>
      <c r="J104" s="9" t="str">
        <f>IF(H104="","",IF(I104="já",H104-Stillingar!$B$3,H104))</f>
        <v/>
      </c>
      <c r="N104" s="10"/>
      <c r="P104" s="10"/>
      <c r="S104" s="10"/>
      <c r="U104" s="11"/>
    </row>
    <row r="105" spans="8:21" x14ac:dyDescent="0.2">
      <c r="H105" s="7"/>
      <c r="I105" s="8" t="str">
        <f>IF(H105="","",IF(AND(OR(K105="rafmagn",K105="vetni"),H105&lt;Stillingar!$B$2),"já","nei"))</f>
        <v/>
      </c>
      <c r="J105" s="9" t="str">
        <f>IF(H105="","",IF(I105="já",H105-Stillingar!$B$3,H105))</f>
        <v/>
      </c>
      <c r="N105" s="10"/>
      <c r="P105" s="10"/>
      <c r="S105" s="10"/>
      <c r="U105" s="11"/>
    </row>
    <row r="106" spans="8:21" x14ac:dyDescent="0.2">
      <c r="H106" s="7"/>
      <c r="I106" s="8" t="str">
        <f>IF(H106="","",IF(AND(OR(K106="rafmagn",K106="vetni"),H106&lt;Stillingar!$B$2),"já","nei"))</f>
        <v/>
      </c>
      <c r="J106" s="9" t="str">
        <f>IF(H106="","",IF(I106="já",H106-Stillingar!$B$3,H106))</f>
        <v/>
      </c>
      <c r="N106" s="10"/>
      <c r="P106" s="10"/>
      <c r="S106" s="10"/>
      <c r="U106" s="11"/>
    </row>
    <row r="107" spans="8:21" x14ac:dyDescent="0.2">
      <c r="H107" s="7"/>
      <c r="I107" s="8" t="str">
        <f>IF(H107="","",IF(AND(OR(K107="rafmagn",K107="vetni"),H107&lt;Stillingar!$B$2),"já","nei"))</f>
        <v/>
      </c>
      <c r="J107" s="9" t="str">
        <f>IF(H107="","",IF(I107="já",H107-Stillingar!$B$3,H107))</f>
        <v/>
      </c>
      <c r="N107" s="10"/>
      <c r="P107" s="10"/>
      <c r="S107" s="10"/>
      <c r="U107" s="11"/>
    </row>
    <row r="108" spans="8:21" x14ac:dyDescent="0.2">
      <c r="H108" s="7"/>
      <c r="I108" s="8" t="str">
        <f>IF(H108="","",IF(AND(OR(K108="rafmagn",K108="vetni"),H108&lt;Stillingar!$B$2),"já","nei"))</f>
        <v/>
      </c>
      <c r="J108" s="9" t="str">
        <f>IF(H108="","",IF(I108="já",H108-Stillingar!$B$3,H108))</f>
        <v/>
      </c>
      <c r="N108" s="10"/>
      <c r="P108" s="10"/>
      <c r="S108" s="10"/>
      <c r="U108" s="11"/>
    </row>
    <row r="109" spans="8:21" x14ac:dyDescent="0.2">
      <c r="H109" s="7"/>
      <c r="I109" s="8" t="str">
        <f>IF(H109="","",IF(AND(OR(K109="rafmagn",K109="vetni"),H109&lt;Stillingar!$B$2),"já","nei"))</f>
        <v/>
      </c>
      <c r="J109" s="9" t="str">
        <f>IF(H109="","",IF(I109="já",H109-Stillingar!$B$3,H109))</f>
        <v/>
      </c>
      <c r="N109" s="10"/>
      <c r="P109" s="10"/>
      <c r="S109" s="10"/>
      <c r="U109" s="11"/>
    </row>
    <row r="110" spans="8:21" x14ac:dyDescent="0.2">
      <c r="H110" s="7"/>
      <c r="I110" s="8" t="str">
        <f>IF(H110="","",IF(AND(OR(K110="rafmagn",K110="vetni"),H110&lt;Stillingar!$B$2),"já","nei"))</f>
        <v/>
      </c>
      <c r="J110" s="9" t="str">
        <f>IF(H110="","",IF(I110="já",H110-Stillingar!$B$3,H110))</f>
        <v/>
      </c>
      <c r="N110" s="10"/>
      <c r="P110" s="10"/>
      <c r="S110" s="10"/>
      <c r="U110" s="11"/>
    </row>
    <row r="111" spans="8:21" x14ac:dyDescent="0.2">
      <c r="H111" s="7"/>
      <c r="I111" s="8" t="str">
        <f>IF(H111="","",IF(AND(OR(K111="rafmagn",K111="vetni"),H111&lt;Stillingar!$B$2),"já","nei"))</f>
        <v/>
      </c>
      <c r="J111" s="9" t="str">
        <f>IF(H111="","",IF(I111="já",H111-Stillingar!$B$3,H111))</f>
        <v/>
      </c>
      <c r="N111" s="10"/>
      <c r="P111" s="10"/>
      <c r="S111" s="10"/>
      <c r="U111" s="11"/>
    </row>
    <row r="112" spans="8:21" x14ac:dyDescent="0.2">
      <c r="H112" s="7"/>
      <c r="I112" s="8" t="str">
        <f>IF(H112="","",IF(AND(OR(K112="rafmagn",K112="vetni"),H112&lt;Stillingar!$B$2),"já","nei"))</f>
        <v/>
      </c>
      <c r="J112" s="9" t="str">
        <f>IF(H112="","",IF(I112="já",H112-Stillingar!$B$3,H112))</f>
        <v/>
      </c>
      <c r="N112" s="10"/>
      <c r="P112" s="10"/>
      <c r="S112" s="10"/>
      <c r="U112" s="11"/>
    </row>
    <row r="113" spans="8:21" x14ac:dyDescent="0.2">
      <c r="H113" s="7"/>
      <c r="I113" s="8" t="str">
        <f>IF(H113="","",IF(AND(OR(K113="rafmagn",K113="vetni"),H113&lt;Stillingar!$B$2),"já","nei"))</f>
        <v/>
      </c>
      <c r="J113" s="9" t="str">
        <f>IF(H113="","",IF(I113="já",H113-Stillingar!$B$3,H113))</f>
        <v/>
      </c>
      <c r="N113" s="10"/>
      <c r="P113" s="10"/>
      <c r="S113" s="10"/>
      <c r="U113" s="11"/>
    </row>
    <row r="114" spans="8:21" x14ac:dyDescent="0.2">
      <c r="H114" s="7"/>
      <c r="I114" s="8" t="str">
        <f>IF(H114="","",IF(AND(OR(K114="rafmagn",K114="vetni"),H114&lt;Stillingar!$B$2),"já","nei"))</f>
        <v/>
      </c>
      <c r="J114" s="9" t="str">
        <f>IF(H114="","",IF(I114="já",H114-Stillingar!$B$3,H114))</f>
        <v/>
      </c>
      <c r="N114" s="10"/>
      <c r="P114" s="10"/>
      <c r="S114" s="10"/>
      <c r="U114" s="11"/>
    </row>
    <row r="115" spans="8:21" x14ac:dyDescent="0.2">
      <c r="H115" s="7"/>
      <c r="I115" s="8" t="str">
        <f>IF(H115="","",IF(AND(OR(K115="rafmagn",K115="vetni"),H115&lt;Stillingar!$B$2),"já","nei"))</f>
        <v/>
      </c>
      <c r="J115" s="9" t="str">
        <f>IF(H115="","",IF(I115="já",H115-Stillingar!$B$3,H115))</f>
        <v/>
      </c>
      <c r="N115" s="10"/>
      <c r="P115" s="10"/>
      <c r="S115" s="10"/>
      <c r="U115" s="11"/>
    </row>
    <row r="116" spans="8:21" x14ac:dyDescent="0.2">
      <c r="H116" s="7"/>
      <c r="I116" s="8" t="str">
        <f>IF(H116="","",IF(AND(OR(K116="rafmagn",K116="vetni"),H116&lt;Stillingar!$B$2),"já","nei"))</f>
        <v/>
      </c>
      <c r="J116" s="9" t="str">
        <f>IF(H116="","",IF(I116="já",H116-Stillingar!$B$3,H116))</f>
        <v/>
      </c>
      <c r="N116" s="10"/>
      <c r="P116" s="10"/>
      <c r="S116" s="10"/>
      <c r="U116" s="11"/>
    </row>
    <row r="117" spans="8:21" x14ac:dyDescent="0.2">
      <c r="H117" s="7"/>
      <c r="I117" s="8" t="str">
        <f>IF(H117="","",IF(AND(OR(K117="rafmagn",K117="vetni"),H117&lt;Stillingar!$B$2),"já","nei"))</f>
        <v/>
      </c>
      <c r="J117" s="9" t="str">
        <f>IF(H117="","",IF(I117="já",H117-Stillingar!$B$3,H117))</f>
        <v/>
      </c>
      <c r="N117" s="10"/>
      <c r="P117" s="10"/>
      <c r="S117" s="10"/>
      <c r="U117" s="11"/>
    </row>
    <row r="118" spans="8:21" x14ac:dyDescent="0.2">
      <c r="H118" s="7"/>
      <c r="I118" s="8" t="str">
        <f>IF(H118="","",IF(AND(OR(K118="rafmagn",K118="vetni"),H118&lt;Stillingar!$B$2),"já","nei"))</f>
        <v/>
      </c>
      <c r="J118" s="9" t="str">
        <f>IF(H118="","",IF(I118="já",H118-Stillingar!$B$3,H118))</f>
        <v/>
      </c>
      <c r="N118" s="10"/>
      <c r="P118" s="10"/>
      <c r="S118" s="10"/>
      <c r="U118" s="11"/>
    </row>
    <row r="119" spans="8:21" x14ac:dyDescent="0.2">
      <c r="H119" s="7"/>
      <c r="I119" s="8" t="str">
        <f>IF(H119="","",IF(AND(OR(K119="rafmagn",K119="vetni"),H119&lt;Stillingar!$B$2),"já","nei"))</f>
        <v/>
      </c>
      <c r="J119" s="9" t="str">
        <f>IF(H119="","",IF(I119="já",H119-Stillingar!$B$3,H119))</f>
        <v/>
      </c>
      <c r="N119" s="10"/>
      <c r="P119" s="10"/>
      <c r="S119" s="10"/>
      <c r="U119" s="11"/>
    </row>
    <row r="120" spans="8:21" x14ac:dyDescent="0.2">
      <c r="H120" s="7"/>
      <c r="I120" s="8" t="str">
        <f>IF(H120="","",IF(AND(OR(K120="rafmagn",K120="vetni"),H120&lt;Stillingar!$B$2),"já","nei"))</f>
        <v/>
      </c>
      <c r="J120" s="9" t="str">
        <f>IF(H120="","",IF(I120="já",H120-Stillingar!$B$3,H120))</f>
        <v/>
      </c>
      <c r="N120" s="10"/>
      <c r="P120" s="10"/>
      <c r="S120" s="10"/>
      <c r="U120" s="11"/>
    </row>
    <row r="121" spans="8:21" x14ac:dyDescent="0.2">
      <c r="H121" s="7"/>
      <c r="I121" s="8" t="str">
        <f>IF(H121="","",IF(AND(OR(K121="rafmagn",K121="vetni"),H121&lt;Stillingar!$B$2),"já","nei"))</f>
        <v/>
      </c>
      <c r="J121" s="9" t="str">
        <f>IF(H121="","",IF(I121="já",H121-Stillingar!$B$3,H121))</f>
        <v/>
      </c>
      <c r="N121" s="10"/>
      <c r="P121" s="10"/>
      <c r="S121" s="10"/>
      <c r="U121" s="11"/>
    </row>
    <row r="122" spans="8:21" x14ac:dyDescent="0.2">
      <c r="H122" s="7"/>
      <c r="I122" s="8" t="str">
        <f>IF(H122="","",IF(AND(OR(K122="rafmagn",K122="vetni"),H122&lt;Stillingar!$B$2),"já","nei"))</f>
        <v/>
      </c>
      <c r="J122" s="9" t="str">
        <f>IF(H122="","",IF(I122="já",H122-Stillingar!$B$3,H122))</f>
        <v/>
      </c>
      <c r="N122" s="10"/>
      <c r="P122" s="10"/>
      <c r="S122" s="10"/>
      <c r="U122" s="11"/>
    </row>
    <row r="123" spans="8:21" x14ac:dyDescent="0.2">
      <c r="H123" s="7"/>
      <c r="I123" s="8" t="str">
        <f>IF(H123="","",IF(AND(OR(K123="rafmagn",K123="vetni"),H123&lt;Stillingar!$B$2),"já","nei"))</f>
        <v/>
      </c>
      <c r="J123" s="9" t="str">
        <f>IF(H123="","",IF(I123="já",H123-Stillingar!$B$3,H123))</f>
        <v/>
      </c>
      <c r="N123" s="10"/>
      <c r="P123" s="10"/>
      <c r="S123" s="10"/>
      <c r="U123" s="11"/>
    </row>
    <row r="124" spans="8:21" x14ac:dyDescent="0.2">
      <c r="H124" s="7"/>
      <c r="I124" s="8" t="str">
        <f>IF(H124="","",IF(AND(OR(K124="rafmagn",K124="vetni"),H124&lt;Stillingar!$B$2),"já","nei"))</f>
        <v/>
      </c>
      <c r="J124" s="9" t="str">
        <f>IF(H124="","",IF(I124="já",H124-Stillingar!$B$3,H124))</f>
        <v/>
      </c>
      <c r="N124" s="10"/>
      <c r="P124" s="10"/>
      <c r="S124" s="10"/>
      <c r="U124" s="11"/>
    </row>
    <row r="125" spans="8:21" x14ac:dyDescent="0.2">
      <c r="H125" s="7"/>
      <c r="I125" s="8" t="str">
        <f>IF(H125="","",IF(AND(OR(K125="rafmagn",K125="vetni"),H125&lt;Stillingar!$B$2),"já","nei"))</f>
        <v/>
      </c>
      <c r="J125" s="9" t="str">
        <f>IF(H125="","",IF(I125="já",H125-Stillingar!$B$3,H125))</f>
        <v/>
      </c>
      <c r="N125" s="10"/>
      <c r="P125" s="10"/>
      <c r="S125" s="10"/>
      <c r="U125" s="11"/>
    </row>
    <row r="126" spans="8:21" x14ac:dyDescent="0.2">
      <c r="H126" s="7"/>
      <c r="I126" s="8" t="str">
        <f>IF(H126="","",IF(AND(OR(K126="rafmagn",K126="vetni"),H126&lt;Stillingar!$B$2),"já","nei"))</f>
        <v/>
      </c>
      <c r="J126" s="9" t="str">
        <f>IF(H126="","",IF(I126="já",H126-Stillingar!$B$3,H126))</f>
        <v/>
      </c>
      <c r="N126" s="10"/>
      <c r="P126" s="10"/>
      <c r="S126" s="10"/>
      <c r="U126" s="11"/>
    </row>
    <row r="127" spans="8:21" x14ac:dyDescent="0.2">
      <c r="H127" s="7"/>
      <c r="I127" s="8" t="str">
        <f>IF(H127="","",IF(AND(OR(K127="rafmagn",K127="vetni"),H127&lt;Stillingar!$B$2),"já","nei"))</f>
        <v/>
      </c>
      <c r="J127" s="9" t="str">
        <f>IF(H127="","",IF(I127="já",H127-Stillingar!$B$3,H127))</f>
        <v/>
      </c>
      <c r="N127" s="10"/>
      <c r="P127" s="10"/>
      <c r="S127" s="10"/>
      <c r="U127" s="11"/>
    </row>
    <row r="128" spans="8:21" x14ac:dyDescent="0.2">
      <c r="H128" s="7"/>
      <c r="I128" s="8" t="str">
        <f>IF(H128="","",IF(AND(OR(K128="rafmagn",K128="vetni"),H128&lt;Stillingar!$B$2),"já","nei"))</f>
        <v/>
      </c>
      <c r="J128" s="9" t="str">
        <f>IF(H128="","",IF(I128="já",H128-Stillingar!$B$3,H128))</f>
        <v/>
      </c>
      <c r="N128" s="10"/>
      <c r="P128" s="10"/>
      <c r="S128" s="10"/>
      <c r="U128" s="11"/>
    </row>
    <row r="129" spans="8:21" x14ac:dyDescent="0.2">
      <c r="H129" s="7"/>
      <c r="I129" s="8" t="str">
        <f>IF(H129="","",IF(AND(OR(K129="rafmagn",K129="vetni"),H129&lt;Stillingar!$B$2),"já","nei"))</f>
        <v/>
      </c>
      <c r="J129" s="9" t="str">
        <f>IF(H129="","",IF(I129="já",H129-Stillingar!$B$3,H129))</f>
        <v/>
      </c>
      <c r="N129" s="10"/>
      <c r="P129" s="10"/>
      <c r="S129" s="10"/>
      <c r="U129" s="11"/>
    </row>
    <row r="130" spans="8:21" x14ac:dyDescent="0.2">
      <c r="H130" s="7"/>
      <c r="I130" s="8" t="str">
        <f>IF(H130="","",IF(AND(OR(K130="rafmagn",K130="vetni"),H130&lt;Stillingar!$B$2),"já","nei"))</f>
        <v/>
      </c>
      <c r="J130" s="9" t="str">
        <f>IF(H130="","",IF(I130="já",H130-Stillingar!$B$3,H130))</f>
        <v/>
      </c>
      <c r="N130" s="10"/>
      <c r="P130" s="10"/>
      <c r="S130" s="10"/>
      <c r="U130" s="11"/>
    </row>
    <row r="131" spans="8:21" x14ac:dyDescent="0.2">
      <c r="H131" s="7"/>
      <c r="I131" s="8" t="str">
        <f>IF(H131="","",IF(AND(OR(K131="rafmagn",K131="vetni"),H131&lt;Stillingar!$B$2),"já","nei"))</f>
        <v/>
      </c>
      <c r="J131" s="9" t="str">
        <f>IF(H131="","",IF(I131="já",H131-Stillingar!$B$3,H131))</f>
        <v/>
      </c>
      <c r="N131" s="10"/>
      <c r="P131" s="10"/>
      <c r="S131" s="10"/>
      <c r="U131" s="11"/>
    </row>
    <row r="132" spans="8:21" x14ac:dyDescent="0.2">
      <c r="H132" s="7"/>
      <c r="I132" s="8" t="str">
        <f>IF(H132="","",IF(AND(OR(K132="rafmagn",K132="vetni"),H132&lt;Stillingar!$B$2),"já","nei"))</f>
        <v/>
      </c>
      <c r="J132" s="9" t="str">
        <f>IF(H132="","",IF(I132="já",H132-Stillingar!$B$3,H132))</f>
        <v/>
      </c>
      <c r="N132" s="10"/>
      <c r="P132" s="10"/>
      <c r="S132" s="10"/>
      <c r="U132" s="11"/>
    </row>
    <row r="133" spans="8:21" x14ac:dyDescent="0.2">
      <c r="H133" s="7"/>
      <c r="I133" s="8" t="str">
        <f>IF(H133="","",IF(AND(OR(K133="rafmagn",K133="vetni"),H133&lt;Stillingar!$B$2),"já","nei"))</f>
        <v/>
      </c>
      <c r="J133" s="9" t="str">
        <f>IF(H133="","",IF(I133="já",H133-Stillingar!$B$3,H133))</f>
        <v/>
      </c>
      <c r="N133" s="10"/>
      <c r="P133" s="10"/>
      <c r="S133" s="10"/>
      <c r="U133" s="11"/>
    </row>
    <row r="134" spans="8:21" x14ac:dyDescent="0.2">
      <c r="H134" s="7"/>
      <c r="I134" s="8" t="str">
        <f>IF(H134="","",IF(AND(OR(K134="rafmagn",K134="vetni"),H134&lt;Stillingar!$B$2),"já","nei"))</f>
        <v/>
      </c>
      <c r="J134" s="9" t="str">
        <f>IF(H134="","",IF(I134="já",H134-Stillingar!$B$3,H134))</f>
        <v/>
      </c>
      <c r="N134" s="10"/>
      <c r="P134" s="10"/>
      <c r="S134" s="10"/>
      <c r="U134" s="11"/>
    </row>
    <row r="135" spans="8:21" x14ac:dyDescent="0.2">
      <c r="H135" s="7"/>
      <c r="I135" s="8" t="str">
        <f>IF(H135="","",IF(AND(OR(K135="rafmagn",K135="vetni"),H135&lt;Stillingar!$B$2),"já","nei"))</f>
        <v/>
      </c>
      <c r="J135" s="9" t="str">
        <f>IF(H135="","",IF(I135="já",H135-Stillingar!$B$3,H135))</f>
        <v/>
      </c>
      <c r="N135" s="10"/>
      <c r="P135" s="10"/>
      <c r="S135" s="10"/>
      <c r="U135" s="11"/>
    </row>
    <row r="136" spans="8:21" x14ac:dyDescent="0.2">
      <c r="H136" s="7"/>
      <c r="I136" s="8" t="str">
        <f>IF(H136="","",IF(AND(OR(K136="rafmagn",K136="vetni"),H136&lt;Stillingar!$B$2),"já","nei"))</f>
        <v/>
      </c>
      <c r="J136" s="9" t="str">
        <f>IF(H136="","",IF(I136="já",H136-Stillingar!$B$3,H136))</f>
        <v/>
      </c>
      <c r="N136" s="10"/>
      <c r="P136" s="10"/>
      <c r="S136" s="10"/>
      <c r="U136" s="11"/>
    </row>
    <row r="137" spans="8:21" x14ac:dyDescent="0.2">
      <c r="H137" s="7"/>
      <c r="I137" s="8" t="str">
        <f>IF(H137="","",IF(AND(OR(K137="rafmagn",K137="vetni"),H137&lt;Stillingar!$B$2),"já","nei"))</f>
        <v/>
      </c>
      <c r="J137" s="9" t="str">
        <f>IF(H137="","",IF(I137="já",H137-Stillingar!$B$3,H137))</f>
        <v/>
      </c>
      <c r="N137" s="10"/>
      <c r="P137" s="10"/>
      <c r="S137" s="10"/>
      <c r="U137" s="11"/>
    </row>
    <row r="138" spans="8:21" x14ac:dyDescent="0.2">
      <c r="H138" s="7"/>
      <c r="I138" s="8" t="str">
        <f>IF(H138="","",IF(AND(OR(K138="rafmagn",K138="vetni"),H138&lt;Stillingar!$B$2),"já","nei"))</f>
        <v/>
      </c>
      <c r="J138" s="9" t="str">
        <f>IF(H138="","",IF(I138="já",H138-Stillingar!$B$3,H138))</f>
        <v/>
      </c>
      <c r="N138" s="10"/>
      <c r="P138" s="10"/>
      <c r="S138" s="10"/>
      <c r="U138" s="11"/>
    </row>
    <row r="139" spans="8:21" x14ac:dyDescent="0.2">
      <c r="H139" s="7"/>
      <c r="I139" s="8" t="str">
        <f>IF(H139="","",IF(AND(OR(K139="rafmagn",K139="vetni"),H139&lt;Stillingar!$B$2),"já","nei"))</f>
        <v/>
      </c>
      <c r="J139" s="9" t="str">
        <f>IF(H139="","",IF(I139="já",H139-Stillingar!$B$3,H139))</f>
        <v/>
      </c>
      <c r="N139" s="10"/>
      <c r="P139" s="10"/>
      <c r="S139" s="10"/>
      <c r="U139" s="11"/>
    </row>
    <row r="140" spans="8:21" x14ac:dyDescent="0.2">
      <c r="H140" s="7"/>
      <c r="I140" s="8" t="str">
        <f>IF(H140="","",IF(AND(OR(K140="rafmagn",K140="vetni"),H140&lt;Stillingar!$B$2),"já","nei"))</f>
        <v/>
      </c>
      <c r="J140" s="9" t="str">
        <f>IF(H140="","",IF(I140="já",H140-Stillingar!$B$3,H140))</f>
        <v/>
      </c>
      <c r="N140" s="10"/>
      <c r="P140" s="10"/>
      <c r="S140" s="10"/>
      <c r="U140" s="11"/>
    </row>
    <row r="141" spans="8:21" x14ac:dyDescent="0.2">
      <c r="H141" s="7"/>
      <c r="I141" s="8" t="str">
        <f>IF(H141="","",IF(AND(OR(K141="rafmagn",K141="vetni"),H141&lt;Stillingar!$B$2),"já","nei"))</f>
        <v/>
      </c>
      <c r="J141" s="9" t="str">
        <f>IF(H141="","",IF(I141="já",H141-Stillingar!$B$3,H141))</f>
        <v/>
      </c>
      <c r="N141" s="10"/>
      <c r="P141" s="10"/>
      <c r="S141" s="10"/>
      <c r="U141" s="11"/>
    </row>
    <row r="142" spans="8:21" x14ac:dyDescent="0.2">
      <c r="H142" s="7"/>
      <c r="I142" s="8" t="str">
        <f>IF(H142="","",IF(AND(OR(K142="rafmagn",K142="vetni"),H142&lt;Stillingar!$B$2),"já","nei"))</f>
        <v/>
      </c>
      <c r="J142" s="9" t="str">
        <f>IF(H142="","",IF(I142="já",H142-Stillingar!$B$3,H142))</f>
        <v/>
      </c>
      <c r="N142" s="10"/>
      <c r="P142" s="10"/>
      <c r="S142" s="10"/>
      <c r="U142" s="11"/>
    </row>
    <row r="143" spans="8:21" x14ac:dyDescent="0.2">
      <c r="H143" s="7"/>
      <c r="I143" s="8" t="str">
        <f>IF(H143="","",IF(AND(OR(K143="rafmagn",K143="vetni"),H143&lt;Stillingar!$B$2),"já","nei"))</f>
        <v/>
      </c>
      <c r="J143" s="9" t="str">
        <f>IF(H143="","",IF(I143="já",H143-Stillingar!$B$3,H143))</f>
        <v/>
      </c>
      <c r="N143" s="10"/>
      <c r="P143" s="10"/>
      <c r="S143" s="10"/>
      <c r="U143" s="11"/>
    </row>
    <row r="144" spans="8:21" x14ac:dyDescent="0.2">
      <c r="H144" s="7"/>
      <c r="I144" s="8" t="str">
        <f>IF(H144="","",IF(AND(OR(K144="rafmagn",K144="vetni"),H144&lt;Stillingar!$B$2),"já","nei"))</f>
        <v/>
      </c>
      <c r="J144" s="9" t="str">
        <f>IF(H144="","",IF(I144="já",H144-Stillingar!$B$3,H144))</f>
        <v/>
      </c>
      <c r="N144" s="10"/>
      <c r="P144" s="10"/>
      <c r="S144" s="10"/>
      <c r="U144" s="11"/>
    </row>
    <row r="145" spans="8:21" x14ac:dyDescent="0.2">
      <c r="H145" s="7"/>
      <c r="I145" s="8" t="str">
        <f>IF(H145="","",IF(AND(OR(K145="rafmagn",K145="vetni"),H145&lt;Stillingar!$B$2),"já","nei"))</f>
        <v/>
      </c>
      <c r="J145" s="9" t="str">
        <f>IF(H145="","",IF(I145="já",H145-Stillingar!$B$3,H145))</f>
        <v/>
      </c>
      <c r="N145" s="10"/>
      <c r="P145" s="10"/>
      <c r="S145" s="10"/>
      <c r="U145" s="11"/>
    </row>
    <row r="146" spans="8:21" x14ac:dyDescent="0.2">
      <c r="H146" s="7"/>
      <c r="I146" s="8" t="str">
        <f>IF(H146="","",IF(AND(OR(K146="rafmagn",K146="vetni"),H146&lt;Stillingar!$B$2),"já","nei"))</f>
        <v/>
      </c>
      <c r="J146" s="9" t="str">
        <f>IF(H146="","",IF(I146="já",H146-Stillingar!$B$3,H146))</f>
        <v/>
      </c>
      <c r="N146" s="10"/>
      <c r="P146" s="10"/>
      <c r="S146" s="10"/>
      <c r="U146" s="11"/>
    </row>
    <row r="147" spans="8:21" x14ac:dyDescent="0.2">
      <c r="H147" s="7"/>
      <c r="I147" s="8" t="str">
        <f>IF(H147="","",IF(AND(OR(K147="rafmagn",K147="vetni"),H147&lt;Stillingar!$B$2),"já","nei"))</f>
        <v/>
      </c>
      <c r="J147" s="9" t="str">
        <f>IF(H147="","",IF(I147="já",H147-Stillingar!$B$3,H147))</f>
        <v/>
      </c>
      <c r="N147" s="10"/>
      <c r="P147" s="10"/>
      <c r="S147" s="10"/>
      <c r="U147" s="11"/>
    </row>
    <row r="148" spans="8:21" x14ac:dyDescent="0.2">
      <c r="H148" s="7"/>
      <c r="I148" s="8" t="str">
        <f>IF(H148="","",IF(AND(OR(K148="rafmagn",K148="vetni"),H148&lt;Stillingar!$B$2),"já","nei"))</f>
        <v/>
      </c>
      <c r="J148" s="9" t="str">
        <f>IF(H148="","",IF(I148="já",H148-Stillingar!$B$3,H148))</f>
        <v/>
      </c>
      <c r="N148" s="10"/>
      <c r="P148" s="10"/>
      <c r="S148" s="10"/>
      <c r="U148" s="11"/>
    </row>
    <row r="149" spans="8:21" x14ac:dyDescent="0.2">
      <c r="H149" s="7"/>
      <c r="I149" s="8" t="str">
        <f>IF(H149="","",IF(AND(OR(K149="rafmagn",K149="vetni"),H149&lt;Stillingar!$B$2),"já","nei"))</f>
        <v/>
      </c>
      <c r="J149" s="9" t="str">
        <f>IF(H149="","",IF(I149="já",H149-Stillingar!$B$3,H149))</f>
        <v/>
      </c>
      <c r="N149" s="10"/>
      <c r="P149" s="10"/>
      <c r="S149" s="10"/>
      <c r="U149" s="11"/>
    </row>
    <row r="150" spans="8:21" x14ac:dyDescent="0.2">
      <c r="H150" s="7"/>
      <c r="I150" s="8" t="str">
        <f>IF(H150="","",IF(AND(OR(K150="rafmagn",K150="vetni"),H150&lt;Stillingar!$B$2),"já","nei"))</f>
        <v/>
      </c>
      <c r="J150" s="9" t="str">
        <f>IF(H150="","",IF(I150="já",H150-Stillingar!$B$3,H150))</f>
        <v/>
      </c>
      <c r="N150" s="10"/>
      <c r="P150" s="10"/>
      <c r="S150" s="10"/>
      <c r="U150" s="11"/>
    </row>
    <row r="151" spans="8:21" x14ac:dyDescent="0.2">
      <c r="H151" s="7"/>
      <c r="I151" s="8" t="str">
        <f>IF(H151="","",IF(AND(OR(K151="rafmagn",K151="vetni"),H151&lt;Stillingar!$B$2),"já","nei"))</f>
        <v/>
      </c>
      <c r="J151" s="9" t="str">
        <f>IF(H151="","",IF(I151="já",H151-Stillingar!$B$3,H151))</f>
        <v/>
      </c>
      <c r="N151" s="10"/>
      <c r="P151" s="10"/>
      <c r="S151" s="10"/>
      <c r="U151" s="11"/>
    </row>
    <row r="152" spans="8:21" x14ac:dyDescent="0.2">
      <c r="H152" s="7"/>
      <c r="I152" s="8" t="str">
        <f>IF(H152="","",IF(AND(OR(K152="rafmagn",K152="vetni"),H152&lt;Stillingar!$B$2),"já","nei"))</f>
        <v/>
      </c>
      <c r="J152" s="9" t="str">
        <f>IF(H152="","",IF(I152="já",H152-Stillingar!$B$3,H152))</f>
        <v/>
      </c>
      <c r="N152" s="10"/>
      <c r="P152" s="10"/>
      <c r="S152" s="10"/>
      <c r="U152" s="11"/>
    </row>
    <row r="153" spans="8:21" x14ac:dyDescent="0.2">
      <c r="H153" s="7"/>
      <c r="I153" s="8" t="str">
        <f>IF(H153="","",IF(AND(OR(K153="rafmagn",K153="vetni"),H153&lt;Stillingar!$B$2),"já","nei"))</f>
        <v/>
      </c>
      <c r="J153" s="9" t="str">
        <f>IF(H153="","",IF(I153="já",H153-Stillingar!$B$3,H153))</f>
        <v/>
      </c>
      <c r="N153" s="10"/>
      <c r="P153" s="10"/>
      <c r="S153" s="10"/>
      <c r="U153" s="11"/>
    </row>
    <row r="154" spans="8:21" x14ac:dyDescent="0.2">
      <c r="H154" s="7"/>
      <c r="I154" s="8" t="str">
        <f>IF(H154="","",IF(AND(OR(K154="rafmagn",K154="vetni"),H154&lt;Stillingar!$B$2),"já","nei"))</f>
        <v/>
      </c>
      <c r="J154" s="9" t="str">
        <f>IF(H154="","",IF(I154="já",H154-Stillingar!$B$3,H154))</f>
        <v/>
      </c>
      <c r="N154" s="10"/>
      <c r="P154" s="10"/>
      <c r="S154" s="10"/>
      <c r="U154" s="11"/>
    </row>
    <row r="155" spans="8:21" x14ac:dyDescent="0.2">
      <c r="H155" s="7"/>
      <c r="I155" s="8" t="str">
        <f>IF(H155="","",IF(AND(OR(K155="rafmagn",K155="vetni"),H155&lt;Stillingar!$B$2),"já","nei"))</f>
        <v/>
      </c>
      <c r="J155" s="9" t="str">
        <f>IF(H155="","",IF(I155="já",H155-Stillingar!$B$3,H155))</f>
        <v/>
      </c>
      <c r="N155" s="10"/>
      <c r="P155" s="10"/>
      <c r="S155" s="10"/>
      <c r="U155" s="11"/>
    </row>
    <row r="156" spans="8:21" x14ac:dyDescent="0.2">
      <c r="H156" s="7"/>
      <c r="I156" s="8" t="str">
        <f>IF(H156="","",IF(AND(OR(K156="rafmagn",K156="vetni"),H156&lt;Stillingar!$B$2),"já","nei"))</f>
        <v/>
      </c>
      <c r="J156" s="9" t="str">
        <f>IF(H156="","",IF(I156="já",H156-Stillingar!$B$3,H156))</f>
        <v/>
      </c>
      <c r="N156" s="10"/>
      <c r="P156" s="10"/>
      <c r="S156" s="10"/>
      <c r="U156" s="11"/>
    </row>
    <row r="157" spans="8:21" x14ac:dyDescent="0.2">
      <c r="H157" s="7"/>
      <c r="I157" s="8" t="str">
        <f>IF(H157="","",IF(AND(OR(K157="rafmagn",K157="vetni"),H157&lt;Stillingar!$B$2),"já","nei"))</f>
        <v/>
      </c>
      <c r="J157" s="9" t="str">
        <f>IF(H157="","",IF(I157="já",H157-Stillingar!$B$3,H157))</f>
        <v/>
      </c>
      <c r="N157" s="10"/>
      <c r="P157" s="10"/>
      <c r="S157" s="10"/>
      <c r="U157" s="11"/>
    </row>
    <row r="158" spans="8:21" x14ac:dyDescent="0.2">
      <c r="H158" s="7"/>
      <c r="I158" s="8" t="str">
        <f>IF(H158="","",IF(AND(OR(K158="rafmagn",K158="vetni"),H158&lt;Stillingar!$B$2),"já","nei"))</f>
        <v/>
      </c>
      <c r="J158" s="9" t="str">
        <f>IF(H158="","",IF(I158="já",H158-Stillingar!$B$3,H158))</f>
        <v/>
      </c>
      <c r="N158" s="10"/>
      <c r="P158" s="10"/>
      <c r="S158" s="10"/>
      <c r="U158" s="11"/>
    </row>
    <row r="159" spans="8:21" x14ac:dyDescent="0.2">
      <c r="H159" s="7"/>
      <c r="I159" s="8" t="str">
        <f>IF(H159="","",IF(AND(OR(K159="rafmagn",K159="vetni"),H159&lt;Stillingar!$B$2),"já","nei"))</f>
        <v/>
      </c>
      <c r="J159" s="9" t="str">
        <f>IF(H159="","",IF(I159="já",H159-Stillingar!$B$3,H159))</f>
        <v/>
      </c>
      <c r="N159" s="10"/>
      <c r="P159" s="10"/>
      <c r="S159" s="10"/>
      <c r="U159" s="11"/>
    </row>
    <row r="160" spans="8:21" x14ac:dyDescent="0.2">
      <c r="H160" s="7"/>
      <c r="I160" s="8" t="str">
        <f>IF(H160="","",IF(AND(OR(K160="rafmagn",K160="vetni"),H160&lt;Stillingar!$B$2),"já","nei"))</f>
        <v/>
      </c>
      <c r="J160" s="9" t="str">
        <f>IF(H160="","",IF(I160="já",H160-Stillingar!$B$3,H160))</f>
        <v/>
      </c>
      <c r="N160" s="10"/>
      <c r="P160" s="10"/>
      <c r="S160" s="10"/>
      <c r="U160" s="11"/>
    </row>
    <row r="161" spans="8:21" x14ac:dyDescent="0.2">
      <c r="H161" s="7"/>
      <c r="I161" s="8" t="str">
        <f>IF(H161="","",IF(AND(OR(K161="rafmagn",K161="vetni"),H161&lt;Stillingar!$B$2),"já","nei"))</f>
        <v/>
      </c>
      <c r="J161" s="9" t="str">
        <f>IF(H161="","",IF(I161="já",H161-Stillingar!$B$3,H161))</f>
        <v/>
      </c>
      <c r="N161" s="10"/>
      <c r="P161" s="10"/>
      <c r="S161" s="10"/>
      <c r="U161" s="11"/>
    </row>
    <row r="162" spans="8:21" x14ac:dyDescent="0.2">
      <c r="H162" s="7"/>
      <c r="I162" s="8" t="str">
        <f>IF(H162="","",IF(AND(OR(K162="rafmagn",K162="vetni"),H162&lt;Stillingar!$B$2),"já","nei"))</f>
        <v/>
      </c>
      <c r="J162" s="9" t="str">
        <f>IF(H162="","",IF(I162="já",H162-Stillingar!$B$3,H162))</f>
        <v/>
      </c>
      <c r="N162" s="10"/>
      <c r="P162" s="10"/>
      <c r="S162" s="10"/>
      <c r="U162" s="11"/>
    </row>
    <row r="163" spans="8:21" x14ac:dyDescent="0.2">
      <c r="H163" s="7"/>
      <c r="I163" s="8" t="str">
        <f>IF(H163="","",IF(AND(OR(K163="rafmagn",K163="vetni"),H163&lt;Stillingar!$B$2),"já","nei"))</f>
        <v/>
      </c>
      <c r="J163" s="9" t="str">
        <f>IF(H163="","",IF(I163="já",H163-Stillingar!$B$3,H163))</f>
        <v/>
      </c>
      <c r="N163" s="10"/>
      <c r="P163" s="10"/>
      <c r="S163" s="10"/>
      <c r="U163" s="11"/>
    </row>
    <row r="164" spans="8:21" x14ac:dyDescent="0.2">
      <c r="H164" s="7"/>
      <c r="I164" s="8" t="str">
        <f>IF(H164="","",IF(AND(OR(K164="rafmagn",K164="vetni"),H164&lt;Stillingar!$B$2),"já","nei"))</f>
        <v/>
      </c>
      <c r="J164" s="9" t="str">
        <f>IF(H164="","",IF(I164="já",H164-Stillingar!$B$3,H164))</f>
        <v/>
      </c>
      <c r="N164" s="10"/>
      <c r="P164" s="10"/>
      <c r="S164" s="10"/>
      <c r="U164" s="11"/>
    </row>
    <row r="165" spans="8:21" x14ac:dyDescent="0.2">
      <c r="H165" s="7"/>
      <c r="I165" s="8" t="str">
        <f>IF(H165="","",IF(AND(OR(K165="rafmagn",K165="vetni"),H165&lt;Stillingar!$B$2),"já","nei"))</f>
        <v/>
      </c>
      <c r="J165" s="9" t="str">
        <f>IF(H165="","",IF(I165="já",H165-Stillingar!$B$3,H165))</f>
        <v/>
      </c>
      <c r="N165" s="10"/>
      <c r="P165" s="10"/>
      <c r="S165" s="10"/>
      <c r="U165" s="11"/>
    </row>
    <row r="166" spans="8:21" x14ac:dyDescent="0.2">
      <c r="H166" s="7"/>
      <c r="I166" s="8" t="str">
        <f>IF(H166="","",IF(AND(OR(K166="rafmagn",K166="vetni"),H166&lt;Stillingar!$B$2),"já","nei"))</f>
        <v/>
      </c>
      <c r="J166" s="9" t="str">
        <f>IF(H166="","",IF(I166="já",H166-Stillingar!$B$3,H166))</f>
        <v/>
      </c>
      <c r="N166" s="10"/>
      <c r="P166" s="10"/>
      <c r="S166" s="10"/>
      <c r="U166" s="11"/>
    </row>
    <row r="167" spans="8:21" x14ac:dyDescent="0.2">
      <c r="H167" s="7"/>
      <c r="I167" s="8" t="str">
        <f>IF(H167="","",IF(AND(OR(K167="rafmagn",K167="vetni"),H167&lt;Stillingar!$B$2),"já","nei"))</f>
        <v/>
      </c>
      <c r="J167" s="9" t="str">
        <f>IF(H167="","",IF(I167="já",H167-Stillingar!$B$3,H167))</f>
        <v/>
      </c>
      <c r="N167" s="10"/>
      <c r="P167" s="10"/>
      <c r="S167" s="10"/>
      <c r="U167" s="11"/>
    </row>
    <row r="168" spans="8:21" x14ac:dyDescent="0.2">
      <c r="H168" s="7"/>
      <c r="I168" s="8" t="str">
        <f>IF(H168="","",IF(AND(OR(K168="rafmagn",K168="vetni"),H168&lt;Stillingar!$B$2),"já","nei"))</f>
        <v/>
      </c>
      <c r="J168" s="9" t="str">
        <f>IF(H168="","",IF(I168="já",H168-Stillingar!$B$3,H168))</f>
        <v/>
      </c>
      <c r="N168" s="10"/>
      <c r="P168" s="10"/>
      <c r="S168" s="10"/>
      <c r="U168" s="11"/>
    </row>
    <row r="169" spans="8:21" x14ac:dyDescent="0.2">
      <c r="H169" s="7"/>
      <c r="I169" s="8" t="str">
        <f>IF(H169="","",IF(AND(OR(K169="rafmagn",K169="vetni"),H169&lt;Stillingar!$B$2),"já","nei"))</f>
        <v/>
      </c>
      <c r="J169" s="9" t="str">
        <f>IF(H169="","",IF(I169="já",H169-Stillingar!$B$3,H169))</f>
        <v/>
      </c>
      <c r="N169" s="10"/>
      <c r="P169" s="10"/>
      <c r="S169" s="10"/>
      <c r="U169" s="11"/>
    </row>
    <row r="170" spans="8:21" x14ac:dyDescent="0.2">
      <c r="H170" s="7"/>
      <c r="I170" s="8" t="str">
        <f>IF(H170="","",IF(AND(OR(K170="rafmagn",K170="vetni"),H170&lt;Stillingar!$B$2),"já","nei"))</f>
        <v/>
      </c>
      <c r="J170" s="9" t="str">
        <f>IF(H170="","",IF(I170="já",H170-Stillingar!$B$3,H170))</f>
        <v/>
      </c>
      <c r="N170" s="10"/>
      <c r="P170" s="10"/>
      <c r="S170" s="10"/>
      <c r="U170" s="11"/>
    </row>
    <row r="171" spans="8:21" x14ac:dyDescent="0.2">
      <c r="H171" s="7"/>
      <c r="I171" s="8" t="str">
        <f>IF(H171="","",IF(AND(OR(K171="rafmagn",K171="vetni"),H171&lt;Stillingar!$B$2),"já","nei"))</f>
        <v/>
      </c>
      <c r="J171" s="9" t="str">
        <f>IF(H171="","",IF(I171="já",H171-Stillingar!$B$3,H171))</f>
        <v/>
      </c>
      <c r="N171" s="10"/>
      <c r="P171" s="10"/>
      <c r="S171" s="10"/>
      <c r="U171" s="11"/>
    </row>
    <row r="172" spans="8:21" x14ac:dyDescent="0.2">
      <c r="H172" s="7"/>
      <c r="I172" s="8" t="str">
        <f>IF(H172="","",IF(AND(OR(K172="rafmagn",K172="vetni"),H172&lt;Stillingar!$B$2),"já","nei"))</f>
        <v/>
      </c>
      <c r="J172" s="9" t="str">
        <f>IF(H172="","",IF(I172="já",H172-Stillingar!$B$3,H172))</f>
        <v/>
      </c>
      <c r="N172" s="10"/>
      <c r="P172" s="10"/>
      <c r="S172" s="10"/>
      <c r="U172" s="11"/>
    </row>
    <row r="173" spans="8:21" x14ac:dyDescent="0.2">
      <c r="H173" s="7"/>
      <c r="I173" s="8" t="str">
        <f>IF(H173="","",IF(AND(OR(K173="rafmagn",K173="vetni"),H173&lt;Stillingar!$B$2),"já","nei"))</f>
        <v/>
      </c>
      <c r="J173" s="9" t="str">
        <f>IF(H173="","",IF(I173="já",H173-Stillingar!$B$3,H173))</f>
        <v/>
      </c>
      <c r="N173" s="10"/>
      <c r="P173" s="10"/>
      <c r="S173" s="10"/>
      <c r="U173" s="11"/>
    </row>
    <row r="174" spans="8:21" x14ac:dyDescent="0.2">
      <c r="H174" s="7"/>
      <c r="I174" s="8" t="str">
        <f>IF(H174="","",IF(AND(OR(K174="rafmagn",K174="vetni"),H174&lt;Stillingar!$B$2),"já","nei"))</f>
        <v/>
      </c>
      <c r="J174" s="9" t="str">
        <f>IF(H174="","",IF(I174="já",H174-Stillingar!$B$3,H174))</f>
        <v/>
      </c>
      <c r="N174" s="10"/>
      <c r="P174" s="10"/>
      <c r="S174" s="10"/>
      <c r="U174" s="11"/>
    </row>
    <row r="175" spans="8:21" x14ac:dyDescent="0.2">
      <c r="H175" s="7"/>
      <c r="I175" s="8" t="str">
        <f>IF(H175="","",IF(AND(OR(K175="rafmagn",K175="vetni"),H175&lt;Stillingar!$B$2),"já","nei"))</f>
        <v/>
      </c>
      <c r="J175" s="9" t="str">
        <f>IF(H175="","",IF(I175="já",H175-Stillingar!$B$3,H175))</f>
        <v/>
      </c>
      <c r="N175" s="10"/>
      <c r="P175" s="10"/>
      <c r="S175" s="10"/>
      <c r="U175" s="11"/>
    </row>
    <row r="176" spans="8:21" x14ac:dyDescent="0.2">
      <c r="H176" s="7"/>
      <c r="I176" s="8" t="str">
        <f>IF(H176="","",IF(AND(OR(K176="rafmagn",K176="vetni"),H176&lt;Stillingar!$B$2),"já","nei"))</f>
        <v/>
      </c>
      <c r="J176" s="9" t="str">
        <f>IF(H176="","",IF(I176="já",H176-Stillingar!$B$3,H176))</f>
        <v/>
      </c>
      <c r="N176" s="10"/>
      <c r="P176" s="10"/>
      <c r="S176" s="10"/>
      <c r="U176" s="11"/>
    </row>
    <row r="177" spans="8:21" x14ac:dyDescent="0.2">
      <c r="H177" s="7"/>
      <c r="I177" s="8" t="str">
        <f>IF(H177="","",IF(AND(OR(K177="rafmagn",K177="vetni"),H177&lt;Stillingar!$B$2),"já","nei"))</f>
        <v/>
      </c>
      <c r="J177" s="9" t="str">
        <f>IF(H177="","",IF(I177="já",H177-Stillingar!$B$3,H177))</f>
        <v/>
      </c>
      <c r="N177" s="10"/>
      <c r="P177" s="10"/>
      <c r="S177" s="10"/>
      <c r="U177" s="11"/>
    </row>
    <row r="178" spans="8:21" x14ac:dyDescent="0.2">
      <c r="H178" s="7"/>
      <c r="I178" s="8" t="str">
        <f>IF(H178="","",IF(AND(OR(K178="rafmagn",K178="vetni"),H178&lt;Stillingar!$B$2),"já","nei"))</f>
        <v/>
      </c>
      <c r="J178" s="9" t="str">
        <f>IF(H178="","",IF(I178="já",H178-Stillingar!$B$3,H178))</f>
        <v/>
      </c>
      <c r="N178" s="10"/>
      <c r="P178" s="10"/>
      <c r="S178" s="10"/>
      <c r="U178" s="11"/>
    </row>
    <row r="179" spans="8:21" x14ac:dyDescent="0.2">
      <c r="H179" s="7"/>
      <c r="I179" s="8" t="str">
        <f>IF(H179="","",IF(AND(OR(K179="rafmagn",K179="vetni"),H179&lt;Stillingar!$B$2),"já","nei"))</f>
        <v/>
      </c>
      <c r="J179" s="9" t="str">
        <f>IF(H179="","",IF(I179="já",H179-Stillingar!$B$3,H179))</f>
        <v/>
      </c>
      <c r="N179" s="10"/>
      <c r="P179" s="10"/>
      <c r="S179" s="10"/>
      <c r="U179" s="11"/>
    </row>
    <row r="180" spans="8:21" x14ac:dyDescent="0.2">
      <c r="H180" s="7"/>
      <c r="I180" s="8" t="str">
        <f>IF(H180="","",IF(AND(OR(K180="rafmagn",K180="vetni"),H180&lt;Stillingar!$B$2),"já","nei"))</f>
        <v/>
      </c>
      <c r="J180" s="9" t="str">
        <f>IF(H180="","",IF(I180="já",H180-Stillingar!$B$3,H180))</f>
        <v/>
      </c>
      <c r="N180" s="10"/>
      <c r="P180" s="10"/>
      <c r="S180" s="10"/>
      <c r="U180" s="11"/>
    </row>
    <row r="181" spans="8:21" x14ac:dyDescent="0.2">
      <c r="H181" s="7"/>
      <c r="I181" s="8" t="str">
        <f>IF(H181="","",IF(AND(OR(K181="rafmagn",K181="vetni"),H181&lt;Stillingar!$B$2),"já","nei"))</f>
        <v/>
      </c>
      <c r="J181" s="9" t="str">
        <f>IF(H181="","",IF(I181="já",H181-Stillingar!$B$3,H181))</f>
        <v/>
      </c>
      <c r="N181" s="10"/>
      <c r="P181" s="10"/>
      <c r="S181" s="10"/>
      <c r="U181" s="11"/>
    </row>
    <row r="182" spans="8:21" x14ac:dyDescent="0.2">
      <c r="H182" s="7"/>
      <c r="I182" s="8" t="str">
        <f>IF(H182="","",IF(AND(OR(K182="rafmagn",K182="vetni"),H182&lt;Stillingar!$B$2),"já","nei"))</f>
        <v/>
      </c>
      <c r="J182" s="9" t="str">
        <f>IF(H182="","",IF(I182="já",H182-Stillingar!$B$3,H182))</f>
        <v/>
      </c>
      <c r="N182" s="10"/>
      <c r="P182" s="10"/>
      <c r="S182" s="10"/>
      <c r="U182" s="11"/>
    </row>
    <row r="183" spans="8:21" x14ac:dyDescent="0.2">
      <c r="H183" s="7"/>
      <c r="I183" s="8" t="str">
        <f>IF(H183="","",IF(AND(OR(K183="rafmagn",K183="vetni"),H183&lt;Stillingar!$B$2),"já","nei"))</f>
        <v/>
      </c>
      <c r="J183" s="9" t="str">
        <f>IF(H183="","",IF(I183="já",H183-Stillingar!$B$3,H183))</f>
        <v/>
      </c>
      <c r="N183" s="10"/>
      <c r="P183" s="10"/>
      <c r="S183" s="10"/>
      <c r="U183" s="11"/>
    </row>
    <row r="184" spans="8:21" x14ac:dyDescent="0.2">
      <c r="H184" s="7"/>
      <c r="I184" s="8" t="str">
        <f>IF(H184="","",IF(AND(OR(K184="rafmagn",K184="vetni"),H184&lt;Stillingar!$B$2),"já","nei"))</f>
        <v/>
      </c>
      <c r="J184" s="9" t="str">
        <f>IF(H184="","",IF(I184="já",H184-Stillingar!$B$3,H184))</f>
        <v/>
      </c>
      <c r="N184" s="10"/>
      <c r="P184" s="10"/>
      <c r="S184" s="10"/>
      <c r="U184" s="11"/>
    </row>
    <row r="185" spans="8:21" x14ac:dyDescent="0.2">
      <c r="H185" s="7"/>
      <c r="I185" s="8" t="str">
        <f>IF(H185="","",IF(AND(OR(K185="rafmagn",K185="vetni"),H185&lt;Stillingar!$B$2),"já","nei"))</f>
        <v/>
      </c>
      <c r="J185" s="9" t="str">
        <f>IF(H185="","",IF(I185="já",H185-Stillingar!$B$3,H185))</f>
        <v/>
      </c>
      <c r="N185" s="10"/>
      <c r="P185" s="10"/>
      <c r="S185" s="10"/>
      <c r="U185" s="11"/>
    </row>
    <row r="186" spans="8:21" x14ac:dyDescent="0.2">
      <c r="H186" s="7"/>
      <c r="I186" s="8" t="str">
        <f>IF(H186="","",IF(AND(OR(K186="rafmagn",K186="vetni"),H186&lt;Stillingar!$B$2),"já","nei"))</f>
        <v/>
      </c>
      <c r="J186" s="9" t="str">
        <f>IF(H186="","",IF(I186="já",H186-Stillingar!$B$3,H186))</f>
        <v/>
      </c>
      <c r="N186" s="10"/>
      <c r="P186" s="10"/>
      <c r="S186" s="10"/>
      <c r="U186" s="11"/>
    </row>
    <row r="187" spans="8:21" x14ac:dyDescent="0.2">
      <c r="H187" s="7"/>
      <c r="I187" s="8" t="str">
        <f>IF(H187="","",IF(AND(OR(K187="rafmagn",K187="vetni"),H187&lt;Stillingar!$B$2),"já","nei"))</f>
        <v/>
      </c>
      <c r="J187" s="9" t="str">
        <f>IF(H187="","",IF(I187="já",H187-Stillingar!$B$3,H187))</f>
        <v/>
      </c>
      <c r="N187" s="10"/>
      <c r="P187" s="10"/>
      <c r="S187" s="10"/>
      <c r="U187" s="11"/>
    </row>
    <row r="188" spans="8:21" x14ac:dyDescent="0.2">
      <c r="H188" s="7"/>
      <c r="I188" s="8" t="str">
        <f>IF(H188="","",IF(AND(OR(K188="rafmagn",K188="vetni"),H188&lt;Stillingar!$B$2),"já","nei"))</f>
        <v/>
      </c>
      <c r="J188" s="9" t="str">
        <f>IF(H188="","",IF(I188="já",H188-Stillingar!$B$3,H188))</f>
        <v/>
      </c>
      <c r="N188" s="10"/>
      <c r="P188" s="10"/>
      <c r="S188" s="10"/>
      <c r="U188" s="11"/>
    </row>
    <row r="189" spans="8:21" x14ac:dyDescent="0.2">
      <c r="H189" s="7"/>
      <c r="I189" s="8" t="str">
        <f>IF(H189="","",IF(AND(OR(K189="rafmagn",K189="vetni"),H189&lt;Stillingar!$B$2),"já","nei"))</f>
        <v/>
      </c>
      <c r="J189" s="9" t="str">
        <f>IF(H189="","",IF(I189="já",H189-Stillingar!$B$3,H189))</f>
        <v/>
      </c>
      <c r="N189" s="10"/>
      <c r="P189" s="10"/>
      <c r="S189" s="10"/>
      <c r="U189" s="11"/>
    </row>
    <row r="190" spans="8:21" x14ac:dyDescent="0.2">
      <c r="H190" s="7"/>
      <c r="I190" s="8" t="str">
        <f>IF(H190="","",IF(AND(OR(K190="rafmagn",K190="vetni"),H190&lt;Stillingar!$B$2),"já","nei"))</f>
        <v/>
      </c>
      <c r="J190" s="9" t="str">
        <f>IF(H190="","",IF(I190="já",H190-Stillingar!$B$3,H190))</f>
        <v/>
      </c>
      <c r="N190" s="10"/>
      <c r="P190" s="10"/>
      <c r="S190" s="10"/>
      <c r="U190" s="11"/>
    </row>
    <row r="191" spans="8:21" x14ac:dyDescent="0.2">
      <c r="H191" s="7"/>
      <c r="I191" s="8" t="str">
        <f>IF(H191="","",IF(AND(OR(K191="rafmagn",K191="vetni"),H191&lt;Stillingar!$B$2),"já","nei"))</f>
        <v/>
      </c>
      <c r="J191" s="9" t="str">
        <f>IF(H191="","",IF(I191="já",H191-Stillingar!$B$3,H191))</f>
        <v/>
      </c>
      <c r="N191" s="10"/>
      <c r="P191" s="10"/>
      <c r="S191" s="10"/>
      <c r="U191" s="11"/>
    </row>
    <row r="192" spans="8:21" x14ac:dyDescent="0.2">
      <c r="H192" s="7"/>
      <c r="I192" s="8" t="str">
        <f>IF(H192="","",IF(AND(OR(K192="rafmagn",K192="vetni"),H192&lt;Stillingar!$B$2),"já","nei"))</f>
        <v/>
      </c>
      <c r="J192" s="9" t="str">
        <f>IF(H192="","",IF(I192="já",H192-Stillingar!$B$3,H192))</f>
        <v/>
      </c>
      <c r="N192" s="10"/>
      <c r="P192" s="10"/>
      <c r="S192" s="10"/>
      <c r="U192" s="11"/>
    </row>
    <row r="193" spans="8:21" x14ac:dyDescent="0.2">
      <c r="H193" s="7"/>
      <c r="I193" s="8" t="str">
        <f>IF(H193="","",IF(AND(OR(K193="rafmagn",K193="vetni"),H193&lt;Stillingar!$B$2),"já","nei"))</f>
        <v/>
      </c>
      <c r="J193" s="9" t="str">
        <f>IF(H193="","",IF(I193="já",H193-Stillingar!$B$3,H193))</f>
        <v/>
      </c>
      <c r="N193" s="10"/>
      <c r="P193" s="10"/>
      <c r="S193" s="10"/>
      <c r="U193" s="11"/>
    </row>
    <row r="194" spans="8:21" x14ac:dyDescent="0.2">
      <c r="H194" s="7"/>
      <c r="I194" s="8" t="str">
        <f>IF(H194="","",IF(AND(OR(K194="rafmagn",K194="vetni"),H194&lt;Stillingar!$B$2),"já","nei"))</f>
        <v/>
      </c>
      <c r="J194" s="9" t="str">
        <f>IF(H194="","",IF(I194="já",H194-Stillingar!$B$3,H194))</f>
        <v/>
      </c>
      <c r="N194" s="10"/>
      <c r="P194" s="10"/>
      <c r="S194" s="10"/>
      <c r="U194" s="11"/>
    </row>
    <row r="195" spans="8:21" x14ac:dyDescent="0.2">
      <c r="H195" s="7"/>
      <c r="I195" s="8" t="str">
        <f>IF(H195="","",IF(AND(OR(K195="rafmagn",K195="vetni"),H195&lt;Stillingar!$B$2),"já","nei"))</f>
        <v/>
      </c>
      <c r="J195" s="9" t="str">
        <f>IF(H195="","",IF(I195="já",H195-Stillingar!$B$3,H195))</f>
        <v/>
      </c>
      <c r="N195" s="10"/>
      <c r="P195" s="10"/>
      <c r="S195" s="10"/>
      <c r="U195" s="11"/>
    </row>
    <row r="196" spans="8:21" x14ac:dyDescent="0.2">
      <c r="H196" s="7"/>
      <c r="I196" s="8" t="str">
        <f>IF(H196="","",IF(AND(OR(K196="rafmagn",K196="vetni"),H196&lt;Stillingar!$B$2),"já","nei"))</f>
        <v/>
      </c>
      <c r="J196" s="9" t="str">
        <f>IF(H196="","",IF(I196="já",H196-Stillingar!$B$3,H196))</f>
        <v/>
      </c>
      <c r="N196" s="10"/>
      <c r="P196" s="10"/>
      <c r="S196" s="10"/>
      <c r="U196" s="11"/>
    </row>
    <row r="197" spans="8:21" x14ac:dyDescent="0.2">
      <c r="H197" s="7"/>
      <c r="I197" s="8" t="str">
        <f>IF(H197="","",IF(AND(OR(K197="rafmagn",K197="vetni"),H197&lt;Stillingar!$B$2),"já","nei"))</f>
        <v/>
      </c>
      <c r="J197" s="9" t="str">
        <f>IF(H197="","",IF(I197="já",H197-Stillingar!$B$3,H197))</f>
        <v/>
      </c>
      <c r="N197" s="10"/>
      <c r="P197" s="10"/>
      <c r="S197" s="10"/>
      <c r="U197" s="11"/>
    </row>
    <row r="198" spans="8:21" x14ac:dyDescent="0.2">
      <c r="H198" s="7"/>
      <c r="I198" s="8" t="str">
        <f>IF(H198="","",IF(AND(OR(K198="rafmagn",K198="vetni"),H198&lt;Stillingar!$B$2),"já","nei"))</f>
        <v/>
      </c>
      <c r="J198" s="9" t="str">
        <f>IF(H198="","",IF(I198="já",H198-Stillingar!$B$3,H198))</f>
        <v/>
      </c>
      <c r="N198" s="10"/>
      <c r="P198" s="10"/>
      <c r="S198" s="10"/>
      <c r="U198" s="11"/>
    </row>
    <row r="199" spans="8:21" x14ac:dyDescent="0.2">
      <c r="H199" s="7"/>
      <c r="I199" s="8" t="str">
        <f>IF(H199="","",IF(AND(OR(K199="rafmagn",K199="vetni"),H199&lt;Stillingar!$B$2),"já","nei"))</f>
        <v/>
      </c>
      <c r="J199" s="9" t="str">
        <f>IF(H199="","",IF(I199="já",H199-Stillingar!$B$3,H199))</f>
        <v/>
      </c>
      <c r="N199" s="10"/>
      <c r="P199" s="10"/>
      <c r="S199" s="10"/>
      <c r="U199" s="11"/>
    </row>
    <row r="200" spans="8:21" x14ac:dyDescent="0.2">
      <c r="H200" s="7"/>
      <c r="I200" s="8" t="str">
        <f>IF(H200="","",IF(AND(OR(K200="rafmagn",K200="vetni"),H200&lt;Stillingar!$B$2),"já","nei"))</f>
        <v/>
      </c>
      <c r="J200" s="9" t="str">
        <f>IF(H200="","",IF(I200="já",H200-Stillingar!$B$3,H200))</f>
        <v/>
      </c>
      <c r="N200" s="10"/>
      <c r="P200" s="10"/>
      <c r="S200" s="10"/>
      <c r="U200" s="11"/>
    </row>
    <row r="201" spans="8:21" x14ac:dyDescent="0.2">
      <c r="H201" s="7"/>
      <c r="I201" s="8" t="str">
        <f>IF(H201="","",IF(AND(OR(K201="rafmagn",K201="vetni"),H201&lt;Stillingar!$B$2),"já","nei"))</f>
        <v/>
      </c>
      <c r="J201" s="9" t="str">
        <f>IF(H201="","",IF(I201="já",H201-Stillingar!$B$3,H201))</f>
        <v/>
      </c>
      <c r="N201" s="10"/>
      <c r="P201" s="10"/>
      <c r="S201" s="10"/>
      <c r="U201" s="11"/>
    </row>
    <row r="202" spans="8:21" x14ac:dyDescent="0.2">
      <c r="H202" s="7"/>
      <c r="I202" s="8" t="str">
        <f>IF(H202="","",IF(AND(OR(K202="rafmagn",K202="vetni"),H202&lt;Stillingar!$B$2),"já","nei"))</f>
        <v/>
      </c>
      <c r="J202" s="9" t="str">
        <f>IF(H202="","",IF(I202="já",H202-Stillingar!$B$3,H202))</f>
        <v/>
      </c>
      <c r="N202" s="10"/>
      <c r="P202" s="10"/>
      <c r="S202" s="10"/>
      <c r="U202" s="11"/>
    </row>
    <row r="203" spans="8:21" x14ac:dyDescent="0.2">
      <c r="H203" s="7"/>
      <c r="I203" s="8" t="str">
        <f>IF(H203="","",IF(AND(OR(K203="rafmagn",K203="vetni"),H203&lt;Stillingar!$B$2),"já","nei"))</f>
        <v/>
      </c>
      <c r="J203" s="9" t="str">
        <f>IF(H203="","",IF(I203="já",H203-Stillingar!$B$3,H203))</f>
        <v/>
      </c>
      <c r="N203" s="10"/>
      <c r="P203" s="10"/>
      <c r="S203" s="10"/>
      <c r="U203" s="11"/>
    </row>
    <row r="204" spans="8:21" x14ac:dyDescent="0.2">
      <c r="H204" s="7"/>
      <c r="I204" s="8" t="str">
        <f>IF(H204="","",IF(AND(OR(K204="rafmagn",K204="vetni"),H204&lt;Stillingar!$B$2),"já","nei"))</f>
        <v/>
      </c>
      <c r="J204" s="9" t="str">
        <f>IF(H204="","",IF(I204="já",H204-Stillingar!$B$3,H204))</f>
        <v/>
      </c>
      <c r="N204" s="10"/>
      <c r="P204" s="10"/>
      <c r="S204" s="10"/>
      <c r="U204" s="11"/>
    </row>
    <row r="205" spans="8:21" x14ac:dyDescent="0.2">
      <c r="H205" s="7"/>
      <c r="I205" s="8" t="str">
        <f>IF(H205="","",IF(AND(OR(K205="rafmagn",K205="vetni"),H205&lt;Stillingar!$B$2),"já","nei"))</f>
        <v/>
      </c>
      <c r="J205" s="9" t="str">
        <f>IF(H205="","",IF(I205="já",H205-Stillingar!$B$3,H205))</f>
        <v/>
      </c>
      <c r="N205" s="10"/>
      <c r="P205" s="10"/>
      <c r="S205" s="10"/>
      <c r="U205" s="11"/>
    </row>
    <row r="206" spans="8:21" x14ac:dyDescent="0.2">
      <c r="H206" s="7"/>
      <c r="I206" s="8" t="str">
        <f>IF(H206="","",IF(AND(OR(K206="rafmagn",K206="vetni"),H206&lt;Stillingar!$B$2),"já","nei"))</f>
        <v/>
      </c>
      <c r="J206" s="9" t="str">
        <f>IF(H206="","",IF(I206="já",H206-Stillingar!$B$3,H206))</f>
        <v/>
      </c>
      <c r="N206" s="10"/>
      <c r="P206" s="10"/>
      <c r="S206" s="10"/>
      <c r="U206" s="11"/>
    </row>
    <row r="207" spans="8:21" x14ac:dyDescent="0.2">
      <c r="H207" s="7"/>
      <c r="I207" s="8" t="str">
        <f>IF(H207="","",IF(AND(OR(K207="rafmagn",K207="vetni"),H207&lt;Stillingar!$B$2),"já","nei"))</f>
        <v/>
      </c>
      <c r="J207" s="9" t="str">
        <f>IF(H207="","",IF(I207="já",H207-Stillingar!$B$3,H207))</f>
        <v/>
      </c>
      <c r="N207" s="10"/>
      <c r="P207" s="10"/>
      <c r="S207" s="10"/>
      <c r="U207" s="11"/>
    </row>
    <row r="208" spans="8:21" x14ac:dyDescent="0.2">
      <c r="H208" s="7"/>
      <c r="I208" s="8" t="str">
        <f>IF(H208="","",IF(AND(OR(K208="rafmagn",K208="vetni"),H208&lt;Stillingar!$B$2),"já","nei"))</f>
        <v/>
      </c>
      <c r="J208" s="9" t="str">
        <f>IF(H208="","",IF(I208="já",H208-Stillingar!$B$3,H208))</f>
        <v/>
      </c>
      <c r="N208" s="10"/>
      <c r="P208" s="10"/>
      <c r="S208" s="10"/>
      <c r="U208" s="11"/>
    </row>
    <row r="209" spans="8:21" x14ac:dyDescent="0.2">
      <c r="H209" s="7"/>
      <c r="I209" s="8" t="str">
        <f>IF(H209="","",IF(AND(OR(K209="rafmagn",K209="vetni"),H209&lt;Stillingar!$B$2),"já","nei"))</f>
        <v/>
      </c>
      <c r="J209" s="9" t="str">
        <f>IF(H209="","",IF(I209="já",H209-Stillingar!$B$3,H209))</f>
        <v/>
      </c>
      <c r="N209" s="10"/>
      <c r="P209" s="10"/>
      <c r="S209" s="10"/>
      <c r="U209" s="11"/>
    </row>
    <row r="210" spans="8:21" x14ac:dyDescent="0.2">
      <c r="H210" s="7"/>
      <c r="I210" s="8" t="str">
        <f>IF(H210="","",IF(AND(OR(K210="rafmagn",K210="vetni"),H210&lt;Stillingar!$B$2),"já","nei"))</f>
        <v/>
      </c>
      <c r="J210" s="9" t="str">
        <f>IF(H210="","",IF(I210="já",H210-Stillingar!$B$3,H210))</f>
        <v/>
      </c>
      <c r="N210" s="10"/>
      <c r="P210" s="10"/>
      <c r="S210" s="10"/>
      <c r="U210" s="11"/>
    </row>
    <row r="211" spans="8:21" x14ac:dyDescent="0.2">
      <c r="H211" s="7"/>
      <c r="I211" s="8" t="str">
        <f>IF(H211="","",IF(AND(OR(K211="rafmagn",K211="vetni"),H211&lt;Stillingar!$B$2),"já","nei"))</f>
        <v/>
      </c>
      <c r="J211" s="9" t="str">
        <f>IF(H211="","",IF(I211="já",H211-Stillingar!$B$3,H211))</f>
        <v/>
      </c>
      <c r="N211" s="10"/>
      <c r="P211" s="10"/>
      <c r="S211" s="10"/>
      <c r="U211" s="11"/>
    </row>
    <row r="212" spans="8:21" x14ac:dyDescent="0.2">
      <c r="H212" s="7"/>
      <c r="I212" s="8" t="str">
        <f>IF(H212="","",IF(AND(OR(K212="rafmagn",K212="vetni"),H212&lt;Stillingar!$B$2),"já","nei"))</f>
        <v/>
      </c>
      <c r="J212" s="9" t="str">
        <f>IF(H212="","",IF(I212="já",H212-Stillingar!$B$3,H212))</f>
        <v/>
      </c>
      <c r="N212" s="10"/>
      <c r="P212" s="10"/>
      <c r="S212" s="10"/>
      <c r="U212" s="11"/>
    </row>
    <row r="213" spans="8:21" x14ac:dyDescent="0.2">
      <c r="H213" s="7"/>
      <c r="I213" s="8" t="str">
        <f>IF(H213="","",IF(AND(OR(K213="rafmagn",K213="vetni"),H213&lt;Stillingar!$B$2),"já","nei"))</f>
        <v/>
      </c>
      <c r="J213" s="9" t="str">
        <f>IF(H213="","",IF(I213="já",H213-Stillingar!$B$3,H213))</f>
        <v/>
      </c>
      <c r="N213" s="10"/>
      <c r="P213" s="10"/>
      <c r="S213" s="10"/>
      <c r="U213" s="11"/>
    </row>
    <row r="214" spans="8:21" x14ac:dyDescent="0.2">
      <c r="H214" s="7"/>
      <c r="I214" s="8" t="str">
        <f>IF(H214="","",IF(AND(OR(K214="rafmagn",K214="vetni"),H214&lt;Stillingar!$B$2),"já","nei"))</f>
        <v/>
      </c>
      <c r="J214" s="9" t="str">
        <f>IF(H214="","",IF(I214="já",H214-Stillingar!$B$3,H214))</f>
        <v/>
      </c>
      <c r="N214" s="10"/>
      <c r="P214" s="10"/>
      <c r="S214" s="10"/>
      <c r="U214" s="11"/>
    </row>
    <row r="215" spans="8:21" x14ac:dyDescent="0.2">
      <c r="H215" s="7"/>
      <c r="I215" s="8" t="str">
        <f>IF(H215="","",IF(AND(OR(K215="rafmagn",K215="vetni"),H215&lt;Stillingar!$B$2),"já","nei"))</f>
        <v/>
      </c>
      <c r="J215" s="9" t="str">
        <f>IF(H215="","",IF(I215="já",H215-Stillingar!$B$3,H215))</f>
        <v/>
      </c>
      <c r="N215" s="10"/>
      <c r="P215" s="10"/>
      <c r="S215" s="10"/>
      <c r="U215" s="11"/>
    </row>
    <row r="216" spans="8:21" x14ac:dyDescent="0.2">
      <c r="H216" s="7"/>
      <c r="I216" s="8" t="str">
        <f>IF(H216="","",IF(AND(OR(K216="rafmagn",K216="vetni"),H216&lt;Stillingar!$B$2),"já","nei"))</f>
        <v/>
      </c>
      <c r="J216" s="9" t="str">
        <f>IF(H216="","",IF(I216="já",H216-Stillingar!$B$3,H216))</f>
        <v/>
      </c>
      <c r="N216" s="10"/>
      <c r="P216" s="10"/>
      <c r="S216" s="10"/>
      <c r="U216" s="11"/>
    </row>
    <row r="217" spans="8:21" x14ac:dyDescent="0.2">
      <c r="H217" s="7"/>
      <c r="I217" s="8" t="str">
        <f>IF(H217="","",IF(AND(OR(K217="rafmagn",K217="vetni"),H217&lt;Stillingar!$B$2),"já","nei"))</f>
        <v/>
      </c>
      <c r="J217" s="9" t="str">
        <f>IF(H217="","",IF(I217="já",H217-Stillingar!$B$3,H217))</f>
        <v/>
      </c>
      <c r="N217" s="10"/>
      <c r="P217" s="10"/>
      <c r="S217" s="10"/>
      <c r="U217" s="11"/>
    </row>
    <row r="218" spans="8:21" x14ac:dyDescent="0.2">
      <c r="H218" s="7"/>
      <c r="I218" s="8" t="str">
        <f>IF(H218="","",IF(AND(OR(K218="rafmagn",K218="vetni"),H218&lt;Stillingar!$B$2),"já","nei"))</f>
        <v/>
      </c>
      <c r="J218" s="9" t="str">
        <f>IF(H218="","",IF(I218="já",H218-Stillingar!$B$3,H218))</f>
        <v/>
      </c>
      <c r="N218" s="10"/>
      <c r="P218" s="10"/>
      <c r="S218" s="10"/>
      <c r="U218" s="11"/>
    </row>
    <row r="219" spans="8:21" x14ac:dyDescent="0.2">
      <c r="H219" s="7"/>
      <c r="I219" s="8" t="str">
        <f>IF(H219="","",IF(AND(OR(K219="rafmagn",K219="vetni"),H219&lt;Stillingar!$B$2),"já","nei"))</f>
        <v/>
      </c>
      <c r="J219" s="9" t="str">
        <f>IF(H219="","",IF(I219="já",H219-Stillingar!$B$3,H219))</f>
        <v/>
      </c>
      <c r="N219" s="10"/>
      <c r="P219" s="10"/>
      <c r="S219" s="10"/>
      <c r="U219" s="11"/>
    </row>
    <row r="220" spans="8:21" x14ac:dyDescent="0.2">
      <c r="H220" s="7"/>
      <c r="I220" s="8" t="str">
        <f>IF(H220="","",IF(AND(OR(K220="rafmagn",K220="vetni"),H220&lt;Stillingar!$B$2),"já","nei"))</f>
        <v/>
      </c>
      <c r="J220" s="9" t="str">
        <f>IF(H220="","",IF(I220="já",H220-Stillingar!$B$3,H220))</f>
        <v/>
      </c>
      <c r="N220" s="10"/>
      <c r="P220" s="10"/>
      <c r="S220" s="10"/>
      <c r="U220" s="11"/>
    </row>
    <row r="221" spans="8:21" x14ac:dyDescent="0.2">
      <c r="H221" s="7"/>
      <c r="I221" s="8" t="str">
        <f>IF(H221="","",IF(AND(OR(K221="rafmagn",K221="vetni"),H221&lt;Stillingar!$B$2),"já","nei"))</f>
        <v/>
      </c>
      <c r="J221" s="9" t="str">
        <f>IF(H221="","",IF(I221="já",H221-Stillingar!$B$3,H221))</f>
        <v/>
      </c>
      <c r="N221" s="10"/>
      <c r="P221" s="10"/>
      <c r="S221" s="10"/>
      <c r="U221" s="11"/>
    </row>
    <row r="222" spans="8:21" x14ac:dyDescent="0.2">
      <c r="H222" s="7"/>
      <c r="I222" s="8" t="str">
        <f>IF(H222="","",IF(AND(OR(K222="rafmagn",K222="vetni"),H222&lt;Stillingar!$B$2),"já","nei"))</f>
        <v/>
      </c>
      <c r="J222" s="9" t="str">
        <f>IF(H222="","",IF(I222="já",H222-Stillingar!$B$3,H222))</f>
        <v/>
      </c>
      <c r="N222" s="10"/>
      <c r="P222" s="10"/>
      <c r="S222" s="10"/>
      <c r="U222" s="11"/>
    </row>
    <row r="223" spans="8:21" x14ac:dyDescent="0.2">
      <c r="H223" s="7"/>
      <c r="I223" s="8" t="str">
        <f>IF(H223="","",IF(AND(OR(K223="rafmagn",K223="vetni"),H223&lt;Stillingar!$B$2),"já","nei"))</f>
        <v/>
      </c>
      <c r="J223" s="9" t="str">
        <f>IF(H223="","",IF(I223="já",H223-Stillingar!$B$3,H223))</f>
        <v/>
      </c>
      <c r="N223" s="10"/>
      <c r="P223" s="10"/>
      <c r="S223" s="10"/>
      <c r="U223" s="11"/>
    </row>
    <row r="224" spans="8:21" x14ac:dyDescent="0.2">
      <c r="H224" s="7"/>
      <c r="I224" s="8" t="str">
        <f>IF(H224="","",IF(AND(OR(K224="rafmagn",K224="vetni"),H224&lt;Stillingar!$B$2),"já","nei"))</f>
        <v/>
      </c>
      <c r="J224" s="9" t="str">
        <f>IF(H224="","",IF(I224="já",H224-Stillingar!$B$3,H224))</f>
        <v/>
      </c>
      <c r="N224" s="10"/>
      <c r="P224" s="10"/>
      <c r="S224" s="10"/>
      <c r="U224" s="11"/>
    </row>
    <row r="225" spans="8:21" x14ac:dyDescent="0.2">
      <c r="H225" s="7"/>
      <c r="I225" s="8" t="str">
        <f>IF(H225="","",IF(AND(OR(K225="rafmagn",K225="vetni"),H225&lt;Stillingar!$B$2),"já","nei"))</f>
        <v/>
      </c>
      <c r="J225" s="9" t="str">
        <f>IF(H225="","",IF(I225="já",H225-Stillingar!$B$3,H225))</f>
        <v/>
      </c>
      <c r="N225" s="10"/>
      <c r="P225" s="10"/>
      <c r="S225" s="10"/>
      <c r="U225" s="11"/>
    </row>
    <row r="226" spans="8:21" x14ac:dyDescent="0.2">
      <c r="H226" s="7"/>
      <c r="I226" s="8" t="str">
        <f>IF(H226="","",IF(AND(OR(K226="rafmagn",K226="vetni"),H226&lt;Stillingar!$B$2),"já","nei"))</f>
        <v/>
      </c>
      <c r="J226" s="9" t="str">
        <f>IF(H226="","",IF(I226="já",H226-Stillingar!$B$3,H226))</f>
        <v/>
      </c>
      <c r="N226" s="10"/>
      <c r="P226" s="10"/>
      <c r="S226" s="10"/>
      <c r="U226" s="11"/>
    </row>
    <row r="227" spans="8:21" x14ac:dyDescent="0.2">
      <c r="H227" s="7"/>
      <c r="I227" s="8" t="str">
        <f>IF(H227="","",IF(AND(OR(K227="rafmagn",K227="vetni"),H227&lt;Stillingar!$B$2),"já","nei"))</f>
        <v/>
      </c>
      <c r="J227" s="9" t="str">
        <f>IF(H227="","",IF(I227="já",H227-Stillingar!$B$3,H227))</f>
        <v/>
      </c>
      <c r="N227" s="10"/>
      <c r="P227" s="10"/>
      <c r="S227" s="10"/>
      <c r="U227" s="11"/>
    </row>
    <row r="228" spans="8:21" x14ac:dyDescent="0.2">
      <c r="H228" s="7"/>
      <c r="I228" s="8" t="str">
        <f>IF(H228="","",IF(AND(OR(K228="rafmagn",K228="vetni"),H228&lt;Stillingar!$B$2),"já","nei"))</f>
        <v/>
      </c>
      <c r="J228" s="9" t="str">
        <f>IF(H228="","",IF(I228="já",H228-Stillingar!$B$3,H228))</f>
        <v/>
      </c>
      <c r="N228" s="10"/>
      <c r="P228" s="10"/>
      <c r="S228" s="10"/>
      <c r="U228" s="11"/>
    </row>
    <row r="229" spans="8:21" x14ac:dyDescent="0.2">
      <c r="H229" s="7"/>
      <c r="I229" s="8" t="str">
        <f>IF(H229="","",IF(AND(OR(K229="rafmagn",K229="vetni"),H229&lt;Stillingar!$B$2),"já","nei"))</f>
        <v/>
      </c>
      <c r="J229" s="9" t="str">
        <f>IF(H229="","",IF(I229="já",H229-Stillingar!$B$3,H229))</f>
        <v/>
      </c>
      <c r="N229" s="10"/>
      <c r="P229" s="10"/>
      <c r="S229" s="10"/>
      <c r="U229" s="11"/>
    </row>
    <row r="230" spans="8:21" x14ac:dyDescent="0.2">
      <c r="H230" s="7"/>
      <c r="I230" s="8" t="str">
        <f>IF(H230="","",IF(AND(OR(K230="rafmagn",K230="vetni"),H230&lt;Stillingar!$B$2),"já","nei"))</f>
        <v/>
      </c>
      <c r="J230" s="9" t="str">
        <f>IF(H230="","",IF(I230="já",H230-Stillingar!$B$3,H230))</f>
        <v/>
      </c>
      <c r="N230" s="10"/>
      <c r="P230" s="10"/>
      <c r="S230" s="10"/>
      <c r="U230" s="11"/>
    </row>
    <row r="231" spans="8:21" x14ac:dyDescent="0.2">
      <c r="H231" s="7"/>
      <c r="I231" s="8" t="str">
        <f>IF(H231="","",IF(AND(OR(K231="rafmagn",K231="vetni"),H231&lt;Stillingar!$B$2),"já","nei"))</f>
        <v/>
      </c>
      <c r="J231" s="9" t="str">
        <f>IF(H231="","",IF(I231="já",H231-Stillingar!$B$3,H231))</f>
        <v/>
      </c>
      <c r="N231" s="10"/>
      <c r="P231" s="10"/>
      <c r="S231" s="10"/>
      <c r="U231" s="11"/>
    </row>
    <row r="232" spans="8:21" x14ac:dyDescent="0.2">
      <c r="H232" s="7"/>
      <c r="I232" s="8" t="str">
        <f>IF(H232="","",IF(AND(OR(K232="rafmagn",K232="vetni"),H232&lt;Stillingar!$B$2),"já","nei"))</f>
        <v/>
      </c>
      <c r="J232" s="9" t="str">
        <f>IF(H232="","",IF(I232="já",H232-Stillingar!$B$3,H232))</f>
        <v/>
      </c>
      <c r="N232" s="10"/>
      <c r="P232" s="10"/>
      <c r="S232" s="10"/>
      <c r="U232" s="11"/>
    </row>
    <row r="233" spans="8:21" x14ac:dyDescent="0.2">
      <c r="H233" s="7"/>
      <c r="I233" s="8" t="str">
        <f>IF(H233="","",IF(AND(OR(K233="rafmagn",K233="vetni"),H233&lt;Stillingar!$B$2),"já","nei"))</f>
        <v/>
      </c>
      <c r="J233" s="9" t="str">
        <f>IF(H233="","",IF(I233="já",H233-Stillingar!$B$3,H233))</f>
        <v/>
      </c>
      <c r="N233" s="10"/>
      <c r="P233" s="10"/>
      <c r="S233" s="10"/>
      <c r="U233" s="11"/>
    </row>
    <row r="234" spans="8:21" x14ac:dyDescent="0.2">
      <c r="H234" s="7"/>
      <c r="I234" s="8" t="str">
        <f>IF(H234="","",IF(AND(OR(K234="rafmagn",K234="vetni"),H234&lt;Stillingar!$B$2),"já","nei"))</f>
        <v/>
      </c>
      <c r="J234" s="9" t="str">
        <f>IF(H234="","",IF(I234="já",H234-Stillingar!$B$3,H234))</f>
        <v/>
      </c>
      <c r="N234" s="10"/>
      <c r="P234" s="10"/>
      <c r="S234" s="10"/>
      <c r="U234" s="11"/>
    </row>
    <row r="235" spans="8:21" x14ac:dyDescent="0.2">
      <c r="H235" s="7"/>
      <c r="I235" s="8" t="str">
        <f>IF(H235="","",IF(AND(OR(K235="rafmagn",K235="vetni"),H235&lt;Stillingar!$B$2),"já","nei"))</f>
        <v/>
      </c>
      <c r="J235" s="9" t="str">
        <f>IF(H235="","",IF(I235="já",H235-Stillingar!$B$3,H235))</f>
        <v/>
      </c>
      <c r="N235" s="10"/>
      <c r="P235" s="10"/>
      <c r="S235" s="10"/>
      <c r="U235" s="11"/>
    </row>
    <row r="236" spans="8:21" x14ac:dyDescent="0.2">
      <c r="H236" s="7"/>
      <c r="I236" s="8" t="str">
        <f>IF(H236="","",IF(AND(OR(K236="rafmagn",K236="vetni"),H236&lt;Stillingar!$B$2),"já","nei"))</f>
        <v/>
      </c>
      <c r="J236" s="9" t="str">
        <f>IF(H236="","",IF(I236="já",H236-Stillingar!$B$3,H236))</f>
        <v/>
      </c>
      <c r="N236" s="10"/>
      <c r="P236" s="10"/>
      <c r="S236" s="10"/>
      <c r="U236" s="11"/>
    </row>
    <row r="237" spans="8:21" x14ac:dyDescent="0.2">
      <c r="H237" s="7"/>
      <c r="I237" s="8" t="str">
        <f>IF(H237="","",IF(AND(OR(K237="rafmagn",K237="vetni"),H237&lt;Stillingar!$B$2),"já","nei"))</f>
        <v/>
      </c>
      <c r="J237" s="9" t="str">
        <f>IF(H237="","",IF(I237="já",H237-Stillingar!$B$3,H237))</f>
        <v/>
      </c>
      <c r="N237" s="10"/>
      <c r="P237" s="10"/>
      <c r="S237" s="10"/>
      <c r="U237" s="11"/>
    </row>
    <row r="238" spans="8:21" x14ac:dyDescent="0.2">
      <c r="H238" s="7"/>
      <c r="I238" s="8" t="str">
        <f>IF(H238="","",IF(AND(OR(K238="rafmagn",K238="vetni"),H238&lt;Stillingar!$B$2),"já","nei"))</f>
        <v/>
      </c>
      <c r="J238" s="9" t="str">
        <f>IF(H238="","",IF(I238="já",H238-Stillingar!$B$3,H238))</f>
        <v/>
      </c>
      <c r="N238" s="10"/>
      <c r="P238" s="10"/>
      <c r="S238" s="10"/>
      <c r="U238" s="11"/>
    </row>
    <row r="239" spans="8:21" x14ac:dyDescent="0.2">
      <c r="H239" s="7"/>
      <c r="I239" s="8" t="str">
        <f>IF(H239="","",IF(AND(OR(K239="rafmagn",K239="vetni"),H239&lt;Stillingar!$B$2),"já","nei"))</f>
        <v/>
      </c>
      <c r="J239" s="9" t="str">
        <f>IF(H239="","",IF(I239="já",H239-Stillingar!$B$3,H239))</f>
        <v/>
      </c>
      <c r="N239" s="10"/>
      <c r="P239" s="10"/>
      <c r="S239" s="10"/>
      <c r="U239" s="11"/>
    </row>
    <row r="240" spans="8:21" x14ac:dyDescent="0.2">
      <c r="H240" s="7"/>
      <c r="I240" s="8" t="str">
        <f>IF(H240="","",IF(AND(OR(K240="rafmagn",K240="vetni"),H240&lt;Stillingar!$B$2),"já","nei"))</f>
        <v/>
      </c>
      <c r="J240" s="9" t="str">
        <f>IF(H240="","",IF(I240="já",H240-Stillingar!$B$3,H240))</f>
        <v/>
      </c>
      <c r="N240" s="10"/>
      <c r="P240" s="10"/>
      <c r="S240" s="10"/>
      <c r="U240" s="11"/>
    </row>
    <row r="241" spans="8:21" x14ac:dyDescent="0.2">
      <c r="H241" s="7"/>
      <c r="I241" s="8" t="str">
        <f>IF(H241="","",IF(AND(OR(K241="rafmagn",K241="vetni"),H241&lt;Stillingar!$B$2),"já","nei"))</f>
        <v/>
      </c>
      <c r="J241" s="9" t="str">
        <f>IF(H241="","",IF(I241="já",H241-Stillingar!$B$3,H241))</f>
        <v/>
      </c>
      <c r="N241" s="10"/>
      <c r="P241" s="10"/>
      <c r="S241" s="10"/>
      <c r="U241" s="11"/>
    </row>
    <row r="242" spans="8:21" x14ac:dyDescent="0.2">
      <c r="H242" s="7"/>
      <c r="I242" s="8" t="str">
        <f>IF(H242="","",IF(AND(OR(K242="rafmagn",K242="vetni"),H242&lt;Stillingar!$B$2),"já","nei"))</f>
        <v/>
      </c>
      <c r="J242" s="9" t="str">
        <f>IF(H242="","",IF(I242="já",H242-Stillingar!$B$3,H242))</f>
        <v/>
      </c>
      <c r="N242" s="10"/>
      <c r="P242" s="10"/>
      <c r="S242" s="10"/>
      <c r="U242" s="11"/>
    </row>
    <row r="243" spans="8:21" x14ac:dyDescent="0.2">
      <c r="H243" s="7"/>
      <c r="I243" s="8" t="str">
        <f>IF(H243="","",IF(AND(OR(K243="rafmagn",K243="vetni"),H243&lt;Stillingar!$B$2),"já","nei"))</f>
        <v/>
      </c>
      <c r="J243" s="9" t="str">
        <f>IF(H243="","",IF(I243="já",H243-Stillingar!$B$3,H243))</f>
        <v/>
      </c>
      <c r="N243" s="10"/>
      <c r="P243" s="10"/>
      <c r="S243" s="10"/>
      <c r="U243" s="11"/>
    </row>
    <row r="244" spans="8:21" x14ac:dyDescent="0.2">
      <c r="H244" s="7"/>
      <c r="I244" s="8" t="str">
        <f>IF(H244="","",IF(AND(OR(K244="rafmagn",K244="vetni"),H244&lt;Stillingar!$B$2),"já","nei"))</f>
        <v/>
      </c>
      <c r="J244" s="9" t="str">
        <f>IF(H244="","",IF(I244="já",H244-Stillingar!$B$3,H244))</f>
        <v/>
      </c>
      <c r="N244" s="10"/>
      <c r="P244" s="10"/>
      <c r="S244" s="10"/>
      <c r="U244" s="11"/>
    </row>
    <row r="245" spans="8:21" x14ac:dyDescent="0.2">
      <c r="H245" s="7"/>
      <c r="I245" s="8" t="str">
        <f>IF(H245="","",IF(AND(OR(K245="rafmagn",K245="vetni"),H245&lt;Stillingar!$B$2),"já","nei"))</f>
        <v/>
      </c>
      <c r="J245" s="9" t="str">
        <f>IF(H245="","",IF(I245="já",H245-Stillingar!$B$3,H245))</f>
        <v/>
      </c>
      <c r="N245" s="10"/>
      <c r="P245" s="10"/>
      <c r="S245" s="10"/>
      <c r="U245" s="11"/>
    </row>
    <row r="246" spans="8:21" x14ac:dyDescent="0.2">
      <c r="H246" s="7"/>
      <c r="I246" s="8" t="str">
        <f>IF(H246="","",IF(AND(OR(K246="rafmagn",K246="vetni"),H246&lt;Stillingar!$B$2),"já","nei"))</f>
        <v/>
      </c>
      <c r="J246" s="9" t="str">
        <f>IF(H246="","",IF(I246="já",H246-Stillingar!$B$3,H246))</f>
        <v/>
      </c>
      <c r="N246" s="10"/>
      <c r="P246" s="10"/>
      <c r="S246" s="10"/>
      <c r="U246" s="11"/>
    </row>
    <row r="247" spans="8:21" x14ac:dyDescent="0.2">
      <c r="H247" s="7"/>
      <c r="I247" s="8" t="str">
        <f>IF(H247="","",IF(AND(OR(K247="rafmagn",K247="vetni"),H247&lt;Stillingar!$B$2),"já","nei"))</f>
        <v/>
      </c>
      <c r="J247" s="9" t="str">
        <f>IF(H247="","",IF(I247="já",H247-Stillingar!$B$3,H247))</f>
        <v/>
      </c>
      <c r="N247" s="10"/>
      <c r="P247" s="10"/>
      <c r="S247" s="10"/>
      <c r="U247" s="11"/>
    </row>
    <row r="248" spans="8:21" x14ac:dyDescent="0.2">
      <c r="H248" s="7"/>
      <c r="I248" s="8" t="str">
        <f>IF(H248="","",IF(AND(OR(K248="rafmagn",K248="vetni"),H248&lt;Stillingar!$B$2),"já","nei"))</f>
        <v/>
      </c>
      <c r="J248" s="9" t="str">
        <f>IF(H248="","",IF(I248="já",H248-Stillingar!$B$3,H248))</f>
        <v/>
      </c>
      <c r="N248" s="10"/>
      <c r="P248" s="10"/>
      <c r="S248" s="10"/>
      <c r="U248" s="11"/>
    </row>
    <row r="249" spans="8:21" x14ac:dyDescent="0.2">
      <c r="H249" s="7"/>
      <c r="I249" s="8" t="str">
        <f>IF(H249="","",IF(AND(OR(K249="rafmagn",K249="vetni"),H249&lt;Stillingar!$B$2),"já","nei"))</f>
        <v/>
      </c>
      <c r="J249" s="9" t="str">
        <f>IF(H249="","",IF(I249="já",H249-Stillingar!$B$3,H249))</f>
        <v/>
      </c>
      <c r="N249" s="10"/>
      <c r="P249" s="10"/>
      <c r="S249" s="10"/>
      <c r="U249" s="11"/>
    </row>
    <row r="250" spans="8:21" x14ac:dyDescent="0.2">
      <c r="H250" s="7"/>
      <c r="I250" s="8" t="str">
        <f>IF(H250="","",IF(AND(OR(K250="rafmagn",K250="vetni"),H250&lt;Stillingar!$B$2),"já","nei"))</f>
        <v/>
      </c>
      <c r="J250" s="9" t="str">
        <f>IF(H250="","",IF(I250="já",H250-Stillingar!$B$3,H250))</f>
        <v/>
      </c>
      <c r="N250" s="10"/>
      <c r="P250" s="10"/>
      <c r="S250" s="10"/>
      <c r="U250" s="11"/>
    </row>
    <row r="251" spans="8:21" x14ac:dyDescent="0.2">
      <c r="H251" s="7"/>
      <c r="I251" s="8" t="str">
        <f>IF(H251="","",IF(AND(OR(K251="rafmagn",K251="vetni"),H251&lt;Stillingar!$B$2),"já","nei"))</f>
        <v/>
      </c>
      <c r="J251" s="9" t="str">
        <f>IF(H251="","",IF(I251="já",H251-Stillingar!$B$3,H251))</f>
        <v/>
      </c>
      <c r="N251" s="10"/>
      <c r="P251" s="10"/>
      <c r="S251" s="10"/>
      <c r="U251" s="11"/>
    </row>
    <row r="252" spans="8:21" x14ac:dyDescent="0.2">
      <c r="H252" s="7"/>
      <c r="I252" s="8" t="str">
        <f>IF(H252="","",IF(AND(OR(K252="rafmagn",K252="vetni"),H252&lt;Stillingar!$B$2),"já","nei"))</f>
        <v/>
      </c>
      <c r="J252" s="9" t="str">
        <f>IF(H252="","",IF(I252="já",H252-Stillingar!$B$3,H252))</f>
        <v/>
      </c>
      <c r="N252" s="10"/>
      <c r="P252" s="10"/>
      <c r="S252" s="10"/>
      <c r="U252" s="11"/>
    </row>
    <row r="253" spans="8:21" x14ac:dyDescent="0.2">
      <c r="H253" s="7"/>
      <c r="I253" s="8" t="str">
        <f>IF(H253="","",IF(AND(OR(K253="rafmagn",K253="vetni"),H253&lt;Stillingar!$B$2),"já","nei"))</f>
        <v/>
      </c>
      <c r="J253" s="9" t="str">
        <f>IF(H253="","",IF(I253="já",H253-Stillingar!$B$3,H253))</f>
        <v/>
      </c>
      <c r="N253" s="10"/>
      <c r="P253" s="10"/>
      <c r="S253" s="10"/>
      <c r="U253" s="11"/>
    </row>
    <row r="254" spans="8:21" x14ac:dyDescent="0.2">
      <c r="H254" s="7"/>
      <c r="I254" s="8" t="str">
        <f>IF(H254="","",IF(AND(OR(K254="rafmagn",K254="vetni"),H254&lt;Stillingar!$B$2),"já","nei"))</f>
        <v/>
      </c>
      <c r="J254" s="9" t="str">
        <f>IF(H254="","",IF(I254="já",H254-Stillingar!$B$3,H254))</f>
        <v/>
      </c>
      <c r="N254" s="10"/>
      <c r="P254" s="10"/>
      <c r="S254" s="10"/>
      <c r="U254" s="11"/>
    </row>
    <row r="255" spans="8:21" x14ac:dyDescent="0.2">
      <c r="H255" s="7"/>
      <c r="I255" s="8" t="str">
        <f>IF(H255="","",IF(AND(OR(K255="rafmagn",K255="vetni"),H255&lt;Stillingar!$B$2),"já","nei"))</f>
        <v/>
      </c>
      <c r="J255" s="9" t="str">
        <f>IF(H255="","",IF(I255="já",H255-Stillingar!$B$3,H255))</f>
        <v/>
      </c>
      <c r="N255" s="10"/>
      <c r="P255" s="10"/>
      <c r="S255" s="10"/>
      <c r="U255" s="11"/>
    </row>
    <row r="256" spans="8:21" x14ac:dyDescent="0.2">
      <c r="H256" s="7"/>
      <c r="I256" s="8" t="str">
        <f>IF(H256="","",IF(AND(OR(K256="rafmagn",K256="vetni"),H256&lt;Stillingar!$B$2),"já","nei"))</f>
        <v/>
      </c>
      <c r="J256" s="9" t="str">
        <f>IF(H256="","",IF(I256="já",H256-Stillingar!$B$3,H256))</f>
        <v/>
      </c>
      <c r="N256" s="10"/>
      <c r="P256" s="10"/>
      <c r="S256" s="10"/>
      <c r="U256" s="11"/>
    </row>
    <row r="257" spans="8:21" x14ac:dyDescent="0.2">
      <c r="H257" s="7"/>
      <c r="I257" s="8" t="str">
        <f>IF(H257="","",IF(AND(OR(K257="rafmagn",K257="vetni"),H257&lt;Stillingar!$B$2),"já","nei"))</f>
        <v/>
      </c>
      <c r="J257" s="9" t="str">
        <f>IF(H257="","",IF(I257="já",H257-Stillingar!$B$3,H257))</f>
        <v/>
      </c>
      <c r="N257" s="10"/>
      <c r="P257" s="10"/>
      <c r="S257" s="10"/>
      <c r="U257" s="11"/>
    </row>
    <row r="258" spans="8:21" x14ac:dyDescent="0.2">
      <c r="H258" s="7"/>
      <c r="I258" s="8" t="str">
        <f>IF(H258="","",IF(AND(OR(K258="rafmagn",K258="vetni"),H258&lt;Stillingar!$B$2),"já","nei"))</f>
        <v/>
      </c>
      <c r="J258" s="9" t="str">
        <f>IF(H258="","",IF(I258="já",H258-Stillingar!$B$3,H258))</f>
        <v/>
      </c>
      <c r="N258" s="10"/>
      <c r="P258" s="10"/>
      <c r="S258" s="10"/>
      <c r="U258" s="11"/>
    </row>
    <row r="259" spans="8:21" x14ac:dyDescent="0.2">
      <c r="H259" s="7"/>
      <c r="I259" s="8" t="str">
        <f>IF(H259="","",IF(AND(OR(K259="rafmagn",K259="vetni"),H259&lt;Stillingar!$B$2),"já","nei"))</f>
        <v/>
      </c>
      <c r="J259" s="9" t="str">
        <f>IF(H259="","",IF(I259="já",H259-Stillingar!$B$3,H259))</f>
        <v/>
      </c>
      <c r="N259" s="10"/>
      <c r="P259" s="10"/>
      <c r="S259" s="10"/>
      <c r="U259" s="11"/>
    </row>
    <row r="260" spans="8:21" x14ac:dyDescent="0.2">
      <c r="H260" s="7"/>
      <c r="I260" s="8" t="str">
        <f>IF(H260="","",IF(AND(OR(K260="rafmagn",K260="vetni"),H260&lt;Stillingar!$B$2),"já","nei"))</f>
        <v/>
      </c>
      <c r="J260" s="9" t="str">
        <f>IF(H260="","",IF(I260="já",H260-Stillingar!$B$3,H260))</f>
        <v/>
      </c>
      <c r="N260" s="10"/>
      <c r="P260" s="10"/>
      <c r="S260" s="10"/>
      <c r="U260" s="11"/>
    </row>
    <row r="261" spans="8:21" x14ac:dyDescent="0.2">
      <c r="H261" s="7"/>
      <c r="I261" s="8" t="str">
        <f>IF(H261="","",IF(AND(OR(K261="rafmagn",K261="vetni"),H261&lt;Stillingar!$B$2),"já","nei"))</f>
        <v/>
      </c>
      <c r="J261" s="9" t="str">
        <f>IF(H261="","",IF(I261="já",H261-Stillingar!$B$3,H261))</f>
        <v/>
      </c>
      <c r="N261" s="10"/>
      <c r="P261" s="10"/>
      <c r="S261" s="10"/>
      <c r="U261" s="11"/>
    </row>
    <row r="262" spans="8:21" x14ac:dyDescent="0.2">
      <c r="H262" s="7"/>
      <c r="I262" s="8" t="str">
        <f>IF(H262="","",IF(AND(OR(K262="rafmagn",K262="vetni"),H262&lt;Stillingar!$B$2),"já","nei"))</f>
        <v/>
      </c>
      <c r="J262" s="9" t="str">
        <f>IF(H262="","",IF(I262="já",H262-Stillingar!$B$3,H262))</f>
        <v/>
      </c>
      <c r="N262" s="10"/>
      <c r="P262" s="10"/>
      <c r="S262" s="10"/>
      <c r="U262" s="11"/>
    </row>
    <row r="263" spans="8:21" x14ac:dyDescent="0.2">
      <c r="H263" s="7"/>
      <c r="I263" s="8" t="str">
        <f>IF(H263="","",IF(AND(OR(K263="rafmagn",K263="vetni"),H263&lt;Stillingar!$B$2),"já","nei"))</f>
        <v/>
      </c>
      <c r="J263" s="9" t="str">
        <f>IF(H263="","",IF(I263="já",H263-Stillingar!$B$3,H263))</f>
        <v/>
      </c>
      <c r="N263" s="10"/>
      <c r="P263" s="10"/>
      <c r="S263" s="10"/>
      <c r="U263" s="11"/>
    </row>
    <row r="264" spans="8:21" x14ac:dyDescent="0.2">
      <c r="H264" s="7"/>
      <c r="I264" s="8" t="str">
        <f>IF(H264="","",IF(AND(OR(K264="rafmagn",K264="vetni"),H264&lt;Stillingar!$B$2),"já","nei"))</f>
        <v/>
      </c>
      <c r="J264" s="9" t="str">
        <f>IF(H264="","",IF(I264="já",H264-Stillingar!$B$3,H264))</f>
        <v/>
      </c>
      <c r="N264" s="10"/>
      <c r="P264" s="10"/>
      <c r="S264" s="10"/>
      <c r="U264" s="11"/>
    </row>
    <row r="265" spans="8:21" x14ac:dyDescent="0.2">
      <c r="H265" s="7"/>
      <c r="I265" s="8" t="str">
        <f>IF(H265="","",IF(AND(OR(K265="rafmagn",K265="vetni"),H265&lt;Stillingar!$B$2),"já","nei"))</f>
        <v/>
      </c>
      <c r="J265" s="9" t="str">
        <f>IF(H265="","",IF(I265="já",H265-Stillingar!$B$3,H265))</f>
        <v/>
      </c>
      <c r="N265" s="10"/>
      <c r="P265" s="10"/>
      <c r="S265" s="10"/>
      <c r="U265" s="11"/>
    </row>
    <row r="266" spans="8:21" x14ac:dyDescent="0.2">
      <c r="H266" s="7"/>
      <c r="I266" s="8" t="str">
        <f>IF(H266="","",IF(AND(OR(K266="rafmagn",K266="vetni"),H266&lt;Stillingar!$B$2),"já","nei"))</f>
        <v/>
      </c>
      <c r="J266" s="9" t="str">
        <f>IF(H266="","",IF(I266="já",H266-Stillingar!$B$3,H266))</f>
        <v/>
      </c>
      <c r="N266" s="10"/>
      <c r="P266" s="10"/>
      <c r="S266" s="10"/>
      <c r="U266" s="11"/>
    </row>
    <row r="267" spans="8:21" x14ac:dyDescent="0.2">
      <c r="H267" s="7"/>
      <c r="I267" s="8" t="str">
        <f>IF(H267="","",IF(AND(OR(K267="rafmagn",K267="vetni"),H267&lt;Stillingar!$B$2),"já","nei"))</f>
        <v/>
      </c>
      <c r="J267" s="9" t="str">
        <f>IF(H267="","",IF(I267="já",H267-Stillingar!$B$3,H267))</f>
        <v/>
      </c>
      <c r="N267" s="10"/>
      <c r="P267" s="10"/>
      <c r="S267" s="10"/>
      <c r="U267" s="11"/>
    </row>
    <row r="268" spans="8:21" x14ac:dyDescent="0.2">
      <c r="H268" s="7"/>
      <c r="I268" s="8" t="str">
        <f>IF(H268="","",IF(AND(OR(K268="rafmagn",K268="vetni"),H268&lt;Stillingar!$B$2),"já","nei"))</f>
        <v/>
      </c>
      <c r="J268" s="9" t="str">
        <f>IF(H268="","",IF(I268="já",H268-Stillingar!$B$3,H268))</f>
        <v/>
      </c>
      <c r="N268" s="10"/>
      <c r="P268" s="10"/>
      <c r="S268" s="10"/>
      <c r="U268" s="11"/>
    </row>
    <row r="269" spans="8:21" x14ac:dyDescent="0.2">
      <c r="H269" s="7"/>
      <c r="I269" s="8" t="str">
        <f>IF(H269="","",IF(AND(OR(K269="rafmagn",K269="vetni"),H269&lt;Stillingar!$B$2),"já","nei"))</f>
        <v/>
      </c>
      <c r="J269" s="9" t="str">
        <f>IF(H269="","",IF(I269="já",H269-Stillingar!$B$3,H269))</f>
        <v/>
      </c>
      <c r="N269" s="10"/>
      <c r="P269" s="10"/>
      <c r="S269" s="10"/>
      <c r="U269" s="11"/>
    </row>
    <row r="270" spans="8:21" x14ac:dyDescent="0.2">
      <c r="H270" s="7"/>
      <c r="I270" s="8" t="str">
        <f>IF(H270="","",IF(AND(OR(K270="rafmagn",K270="vetni"),H270&lt;Stillingar!$B$2),"já","nei"))</f>
        <v/>
      </c>
      <c r="J270" s="9" t="str">
        <f>IF(H270="","",IF(I270="já",H270-Stillingar!$B$3,H270))</f>
        <v/>
      </c>
      <c r="N270" s="10"/>
      <c r="P270" s="10"/>
      <c r="S270" s="10"/>
      <c r="U270" s="11"/>
    </row>
    <row r="271" spans="8:21" x14ac:dyDescent="0.2">
      <c r="H271" s="7"/>
      <c r="I271" s="8" t="str">
        <f>IF(H271="","",IF(AND(OR(K271="rafmagn",K271="vetni"),H271&lt;Stillingar!$B$2),"já","nei"))</f>
        <v/>
      </c>
      <c r="J271" s="9" t="str">
        <f>IF(H271="","",IF(I271="já",H271-Stillingar!$B$3,H271))</f>
        <v/>
      </c>
      <c r="N271" s="10"/>
      <c r="P271" s="10"/>
      <c r="S271" s="10"/>
      <c r="U271" s="11"/>
    </row>
    <row r="272" spans="8:21" x14ac:dyDescent="0.2">
      <c r="H272" s="7"/>
      <c r="I272" s="8" t="str">
        <f>IF(H272="","",IF(AND(OR(K272="rafmagn",K272="vetni"),H272&lt;Stillingar!$B$2),"já","nei"))</f>
        <v/>
      </c>
      <c r="J272" s="9" t="str">
        <f>IF(H272="","",IF(I272="já",H272-Stillingar!$B$3,H272))</f>
        <v/>
      </c>
      <c r="N272" s="10"/>
      <c r="P272" s="10"/>
      <c r="S272" s="10"/>
      <c r="U272" s="11"/>
    </row>
    <row r="273" spans="8:21" x14ac:dyDescent="0.2">
      <c r="H273" s="7"/>
      <c r="I273" s="8" t="str">
        <f>IF(H273="","",IF(AND(OR(K273="rafmagn",K273="vetni"),H273&lt;Stillingar!$B$2),"já","nei"))</f>
        <v/>
      </c>
      <c r="J273" s="9" t="str">
        <f>IF(H273="","",IF(I273="já",H273-Stillingar!$B$3,H273))</f>
        <v/>
      </c>
      <c r="N273" s="10"/>
      <c r="P273" s="10"/>
      <c r="S273" s="10"/>
      <c r="U273" s="11"/>
    </row>
    <row r="274" spans="8:21" x14ac:dyDescent="0.2">
      <c r="H274" s="7"/>
      <c r="I274" s="8" t="str">
        <f>IF(H274="","",IF(AND(OR(K274="rafmagn",K274="vetni"),H274&lt;Stillingar!$B$2),"já","nei"))</f>
        <v/>
      </c>
      <c r="J274" s="9" t="str">
        <f>IF(H274="","",IF(I274="já",H274-Stillingar!$B$3,H274))</f>
        <v/>
      </c>
      <c r="N274" s="10"/>
      <c r="P274" s="10"/>
      <c r="S274" s="10"/>
      <c r="U274" s="11"/>
    </row>
    <row r="275" spans="8:21" x14ac:dyDescent="0.2">
      <c r="H275" s="7"/>
      <c r="I275" s="8" t="str">
        <f>IF(H275="","",IF(AND(OR(K275="rafmagn",K275="vetni"),H275&lt;Stillingar!$B$2),"já","nei"))</f>
        <v/>
      </c>
      <c r="J275" s="9" t="str">
        <f>IF(H275="","",IF(I275="já",H275-Stillingar!$B$3,H275))</f>
        <v/>
      </c>
      <c r="N275" s="10"/>
      <c r="P275" s="10"/>
      <c r="S275" s="10"/>
      <c r="U275" s="11"/>
    </row>
    <row r="276" spans="8:21" x14ac:dyDescent="0.2">
      <c r="H276" s="7"/>
      <c r="I276" s="8" t="str">
        <f>IF(H276="","",IF(AND(OR(K276="rafmagn",K276="vetni"),H276&lt;Stillingar!$B$2),"já","nei"))</f>
        <v/>
      </c>
      <c r="J276" s="9" t="str">
        <f>IF(H276="","",IF(I276="já",H276-Stillingar!$B$3,H276))</f>
        <v/>
      </c>
      <c r="N276" s="10"/>
      <c r="P276" s="10"/>
      <c r="S276" s="10"/>
      <c r="U276" s="11"/>
    </row>
    <row r="277" spans="8:21" x14ac:dyDescent="0.2">
      <c r="H277" s="7"/>
      <c r="I277" s="8" t="str">
        <f>IF(H277="","",IF(AND(OR(K277="rafmagn",K277="vetni"),H277&lt;Stillingar!$B$2),"já","nei"))</f>
        <v/>
      </c>
      <c r="J277" s="9" t="str">
        <f>IF(H277="","",IF(I277="já",H277-Stillingar!$B$3,H277))</f>
        <v/>
      </c>
      <c r="N277" s="10"/>
      <c r="P277" s="10"/>
      <c r="S277" s="10"/>
      <c r="U277" s="11"/>
    </row>
    <row r="278" spans="8:21" x14ac:dyDescent="0.2">
      <c r="H278" s="7"/>
      <c r="I278" s="8" t="str">
        <f>IF(H278="","",IF(AND(OR(K278="rafmagn",K278="vetni"),H278&lt;Stillingar!$B$2),"já","nei"))</f>
        <v/>
      </c>
      <c r="J278" s="9" t="str">
        <f>IF(H278="","",IF(I278="já",H278-Stillingar!$B$3,H278))</f>
        <v/>
      </c>
      <c r="N278" s="10"/>
      <c r="P278" s="10"/>
      <c r="S278" s="10"/>
      <c r="U278" s="11"/>
    </row>
    <row r="279" spans="8:21" x14ac:dyDescent="0.2">
      <c r="H279" s="7"/>
      <c r="I279" s="8" t="str">
        <f>IF(H279="","",IF(AND(OR(K279="rafmagn",K279="vetni"),H279&lt;Stillingar!$B$2),"já","nei"))</f>
        <v/>
      </c>
      <c r="J279" s="9" t="str">
        <f>IF(H279="","",IF(I279="já",H279-Stillingar!$B$3,H279))</f>
        <v/>
      </c>
      <c r="N279" s="10"/>
      <c r="P279" s="10"/>
      <c r="S279" s="10"/>
      <c r="U279" s="11"/>
    </row>
    <row r="280" spans="8:21" x14ac:dyDescent="0.2">
      <c r="H280" s="7"/>
      <c r="I280" s="8" t="str">
        <f>IF(H280="","",IF(AND(OR(K280="rafmagn",K280="vetni"),H280&lt;Stillingar!$B$2),"já","nei"))</f>
        <v/>
      </c>
      <c r="J280" s="9" t="str">
        <f>IF(H280="","",IF(I280="já",H280-Stillingar!$B$3,H280))</f>
        <v/>
      </c>
      <c r="N280" s="10"/>
      <c r="P280" s="10"/>
      <c r="S280" s="10"/>
      <c r="U280" s="11"/>
    </row>
    <row r="281" spans="8:21" x14ac:dyDescent="0.2">
      <c r="H281" s="7"/>
      <c r="I281" s="8" t="str">
        <f>IF(H281="","",IF(AND(OR(K281="rafmagn",K281="vetni"),H281&lt;Stillingar!$B$2),"já","nei"))</f>
        <v/>
      </c>
      <c r="J281" s="9" t="str">
        <f>IF(H281="","",IF(I281="já",H281-Stillingar!$B$3,H281))</f>
        <v/>
      </c>
      <c r="N281" s="10"/>
      <c r="P281" s="10"/>
      <c r="S281" s="10"/>
      <c r="U281" s="11"/>
    </row>
    <row r="282" spans="8:21" x14ac:dyDescent="0.2">
      <c r="H282" s="7"/>
      <c r="I282" s="8" t="str">
        <f>IF(H282="","",IF(AND(OR(K282="rafmagn",K282="vetni"),H282&lt;Stillingar!$B$2),"já","nei"))</f>
        <v/>
      </c>
      <c r="J282" s="9" t="str">
        <f>IF(H282="","",IF(I282="já",H282-Stillingar!$B$3,H282))</f>
        <v/>
      </c>
      <c r="N282" s="10"/>
      <c r="P282" s="10"/>
      <c r="S282" s="10"/>
      <c r="U282" s="11"/>
    </row>
    <row r="283" spans="8:21" x14ac:dyDescent="0.2">
      <c r="H283" s="7"/>
      <c r="I283" s="8" t="str">
        <f>IF(H283="","",IF(AND(OR(K283="rafmagn",K283="vetni"),H283&lt;Stillingar!$B$2),"já","nei"))</f>
        <v/>
      </c>
      <c r="J283" s="9" t="str">
        <f>IF(H283="","",IF(I283="já",H283-Stillingar!$B$3,H283))</f>
        <v/>
      </c>
      <c r="N283" s="10"/>
      <c r="P283" s="10"/>
      <c r="S283" s="10"/>
      <c r="U283" s="11"/>
    </row>
    <row r="284" spans="8:21" x14ac:dyDescent="0.2">
      <c r="H284" s="7"/>
      <c r="I284" s="8" t="str">
        <f>IF(H284="","",IF(AND(OR(K284="rafmagn",K284="vetni"),H284&lt;Stillingar!$B$2),"já","nei"))</f>
        <v/>
      </c>
      <c r="J284" s="9" t="str">
        <f>IF(H284="","",IF(I284="já",H284-Stillingar!$B$3,H284))</f>
        <v/>
      </c>
      <c r="N284" s="10"/>
      <c r="P284" s="10"/>
      <c r="S284" s="10"/>
      <c r="U284" s="11"/>
    </row>
    <row r="285" spans="8:21" x14ac:dyDescent="0.2">
      <c r="H285" s="7"/>
      <c r="I285" s="8" t="str">
        <f>IF(H285="","",IF(AND(OR(K285="rafmagn",K285="vetni"),H285&lt;Stillingar!$B$2),"já","nei"))</f>
        <v/>
      </c>
      <c r="J285" s="9" t="str">
        <f>IF(H285="","",IF(I285="já",H285-Stillingar!$B$3,H285))</f>
        <v/>
      </c>
      <c r="N285" s="10"/>
      <c r="P285" s="10"/>
      <c r="S285" s="10"/>
      <c r="U285" s="11"/>
    </row>
    <row r="286" spans="8:21" x14ac:dyDescent="0.2">
      <c r="H286" s="7"/>
      <c r="I286" s="8" t="str">
        <f>IF(H286="","",IF(AND(OR(K286="rafmagn",K286="vetni"),H286&lt;Stillingar!$B$2),"já","nei"))</f>
        <v/>
      </c>
      <c r="J286" s="9" t="str">
        <f>IF(H286="","",IF(I286="já",H286-Stillingar!$B$3,H286))</f>
        <v/>
      </c>
      <c r="N286" s="10"/>
      <c r="P286" s="10"/>
      <c r="S286" s="10"/>
      <c r="U286" s="11"/>
    </row>
    <row r="287" spans="8:21" x14ac:dyDescent="0.2">
      <c r="H287" s="7"/>
      <c r="I287" s="8" t="str">
        <f>IF(H287="","",IF(AND(OR(K287="rafmagn",K287="vetni"),H287&lt;Stillingar!$B$2),"já","nei"))</f>
        <v/>
      </c>
      <c r="J287" s="9" t="str">
        <f>IF(H287="","",IF(I287="já",H287-Stillingar!$B$3,H287))</f>
        <v/>
      </c>
      <c r="N287" s="10"/>
      <c r="P287" s="10"/>
      <c r="S287" s="10"/>
      <c r="U287" s="11"/>
    </row>
    <row r="288" spans="8:21" x14ac:dyDescent="0.2">
      <c r="H288" s="7"/>
      <c r="I288" s="8" t="str">
        <f>IF(H288="","",IF(AND(OR(K288="rafmagn",K288="vetni"),H288&lt;Stillingar!$B$2),"já","nei"))</f>
        <v/>
      </c>
      <c r="J288" s="9" t="str">
        <f>IF(H288="","",IF(I288="já",H288-Stillingar!$B$3,H288))</f>
        <v/>
      </c>
      <c r="N288" s="10"/>
      <c r="P288" s="10"/>
      <c r="S288" s="10"/>
      <c r="U288" s="11"/>
    </row>
    <row r="289" spans="8:21" x14ac:dyDescent="0.2">
      <c r="H289" s="7"/>
      <c r="I289" s="8" t="str">
        <f>IF(H289="","",IF(AND(OR(K289="rafmagn",K289="vetni"),H289&lt;Stillingar!$B$2),"já","nei"))</f>
        <v/>
      </c>
      <c r="J289" s="9" t="str">
        <f>IF(H289="","",IF(I289="já",H289-Stillingar!$B$3,H289))</f>
        <v/>
      </c>
      <c r="N289" s="10"/>
      <c r="P289" s="10"/>
      <c r="S289" s="10"/>
      <c r="U289" s="11"/>
    </row>
    <row r="290" spans="8:21" x14ac:dyDescent="0.2">
      <c r="H290" s="7"/>
      <c r="I290" s="8" t="str">
        <f>IF(H290="","",IF(AND(OR(K290="rafmagn",K290="vetni"),H290&lt;Stillingar!$B$2),"já","nei"))</f>
        <v/>
      </c>
      <c r="J290" s="9" t="str">
        <f>IF(H290="","",IF(I290="já",H290-Stillingar!$B$3,H290))</f>
        <v/>
      </c>
      <c r="N290" s="10"/>
      <c r="P290" s="10"/>
      <c r="S290" s="10"/>
      <c r="U290" s="11"/>
    </row>
    <row r="291" spans="8:21" x14ac:dyDescent="0.2">
      <c r="H291" s="7"/>
      <c r="I291" s="8" t="str">
        <f>IF(H291="","",IF(AND(OR(K291="rafmagn",K291="vetni"),H291&lt;Stillingar!$B$2),"já","nei"))</f>
        <v/>
      </c>
      <c r="J291" s="9" t="str">
        <f>IF(H291="","",IF(I291="já",H291-Stillingar!$B$3,H291))</f>
        <v/>
      </c>
      <c r="N291" s="10"/>
      <c r="P291" s="10"/>
      <c r="S291" s="10"/>
      <c r="U291" s="11"/>
    </row>
    <row r="292" spans="8:21" x14ac:dyDescent="0.2">
      <c r="H292" s="7"/>
      <c r="I292" s="8" t="str">
        <f>IF(H292="","",IF(AND(OR(K292="rafmagn",K292="vetni"),H292&lt;Stillingar!$B$2),"já","nei"))</f>
        <v/>
      </c>
      <c r="J292" s="9" t="str">
        <f>IF(H292="","",IF(I292="já",H292-Stillingar!$B$3,H292))</f>
        <v/>
      </c>
      <c r="N292" s="10"/>
      <c r="P292" s="10"/>
      <c r="S292" s="10"/>
      <c r="U292" s="11"/>
    </row>
    <row r="293" spans="8:21" x14ac:dyDescent="0.2">
      <c r="H293" s="7"/>
      <c r="I293" s="8" t="str">
        <f>IF(H293="","",IF(AND(OR(K293="rafmagn",K293="vetni"),H293&lt;Stillingar!$B$2),"já","nei"))</f>
        <v/>
      </c>
      <c r="J293" s="9" t="str">
        <f>IF(H293="","",IF(I293="já",H293-Stillingar!$B$3,H293))</f>
        <v/>
      </c>
      <c r="N293" s="10"/>
      <c r="P293" s="10"/>
      <c r="S293" s="10"/>
      <c r="U293" s="11"/>
    </row>
    <row r="294" spans="8:21" x14ac:dyDescent="0.2">
      <c r="H294" s="7"/>
      <c r="I294" s="8" t="str">
        <f>IF(H294="","",IF(AND(OR(K294="rafmagn",K294="vetni"),H294&lt;Stillingar!$B$2),"já","nei"))</f>
        <v/>
      </c>
      <c r="J294" s="9" t="str">
        <f>IF(H294="","",IF(I294="já",H294-Stillingar!$B$3,H294))</f>
        <v/>
      </c>
      <c r="N294" s="10"/>
      <c r="P294" s="10"/>
      <c r="S294" s="10"/>
      <c r="U294" s="11"/>
    </row>
    <row r="295" spans="8:21" x14ac:dyDescent="0.2">
      <c r="H295" s="7"/>
      <c r="I295" s="8" t="str">
        <f>IF(H295="","",IF(AND(OR(K295="rafmagn",K295="vetni"),H295&lt;Stillingar!$B$2),"já","nei"))</f>
        <v/>
      </c>
      <c r="J295" s="9" t="str">
        <f>IF(H295="","",IF(I295="já",H295-Stillingar!$B$3,H295))</f>
        <v/>
      </c>
      <c r="N295" s="10"/>
      <c r="P295" s="10"/>
      <c r="S295" s="10"/>
      <c r="U295" s="11"/>
    </row>
    <row r="296" spans="8:21" x14ac:dyDescent="0.2">
      <c r="H296" s="7"/>
      <c r="I296" s="8" t="str">
        <f>IF(H296="","",IF(AND(OR(K296="rafmagn",K296="vetni"),H296&lt;Stillingar!$B$2),"já","nei"))</f>
        <v/>
      </c>
      <c r="J296" s="9" t="str">
        <f>IF(H296="","",IF(I296="já",H296-Stillingar!$B$3,H296))</f>
        <v/>
      </c>
      <c r="N296" s="10"/>
      <c r="P296" s="10"/>
      <c r="S296" s="10"/>
      <c r="U296" s="11"/>
    </row>
    <row r="297" spans="8:21" x14ac:dyDescent="0.2">
      <c r="H297" s="7"/>
      <c r="I297" s="8" t="str">
        <f>IF(H297="","",IF(AND(OR(K297="rafmagn",K297="vetni"),H297&lt;Stillingar!$B$2),"já","nei"))</f>
        <v/>
      </c>
      <c r="J297" s="9" t="str">
        <f>IF(H297="","",IF(I297="já",H297-Stillingar!$B$3,H297))</f>
        <v/>
      </c>
      <c r="N297" s="10"/>
      <c r="P297" s="10"/>
      <c r="S297" s="10"/>
      <c r="U297" s="11"/>
    </row>
    <row r="298" spans="8:21" x14ac:dyDescent="0.2">
      <c r="H298" s="7"/>
      <c r="I298" s="8" t="str">
        <f>IF(H298="","",IF(AND(OR(K298="rafmagn",K298="vetni"),H298&lt;Stillingar!$B$2),"já","nei"))</f>
        <v/>
      </c>
      <c r="J298" s="9" t="str">
        <f>IF(H298="","",IF(I298="já",H298-Stillingar!$B$3,H298))</f>
        <v/>
      </c>
      <c r="N298" s="10"/>
      <c r="P298" s="10"/>
      <c r="S298" s="10"/>
      <c r="U298" s="11"/>
    </row>
    <row r="299" spans="8:21" x14ac:dyDescent="0.2">
      <c r="H299" s="7"/>
      <c r="I299" s="8" t="str">
        <f>IF(H299="","",IF(AND(OR(K299="rafmagn",K299="vetni"),H299&lt;Stillingar!$B$2),"já","nei"))</f>
        <v/>
      </c>
      <c r="J299" s="9" t="str">
        <f>IF(H299="","",IF(I299="já",H299-Stillingar!$B$3,H299))</f>
        <v/>
      </c>
      <c r="N299" s="10"/>
      <c r="P299" s="10"/>
      <c r="S299" s="10"/>
      <c r="U299" s="11"/>
    </row>
    <row r="300" spans="8:21" x14ac:dyDescent="0.2">
      <c r="H300" s="7"/>
      <c r="I300" s="8" t="str">
        <f>IF(H300="","",IF(AND(OR(K300="rafmagn",K300="vetni"),H300&lt;Stillingar!$B$2),"já","nei"))</f>
        <v/>
      </c>
      <c r="J300" s="9" t="str">
        <f>IF(H300="","",IF(I300="já",H300-Stillingar!$B$3,H300))</f>
        <v/>
      </c>
      <c r="N300" s="10"/>
      <c r="P300" s="10"/>
      <c r="S300" s="10"/>
      <c r="U300" s="11"/>
    </row>
    <row r="301" spans="8:21" x14ac:dyDescent="0.2">
      <c r="H301" s="7"/>
      <c r="I301" s="8" t="str">
        <f>IF(H301="","",IF(AND(OR(K301="rafmagn",K301="vetni"),H301&lt;Stillingar!$B$2),"já","nei"))</f>
        <v/>
      </c>
      <c r="J301" s="9" t="str">
        <f>IF(H301="","",IF(I301="já",H301-Stillingar!$B$3,H301))</f>
        <v/>
      </c>
      <c r="N301" s="10"/>
      <c r="P301" s="10"/>
      <c r="S301" s="10"/>
      <c r="U301" s="11"/>
    </row>
    <row r="302" spans="8:21" x14ac:dyDescent="0.2">
      <c r="H302" s="7"/>
      <c r="I302" s="8" t="str">
        <f>IF(H302="","",IF(AND(OR(K302="rafmagn",K302="vetni"),H302&lt;Stillingar!$B$2),"já","nei"))</f>
        <v/>
      </c>
      <c r="J302" s="9" t="str">
        <f>IF(H302="","",IF(I302="já",H302-Stillingar!$B$3,H302))</f>
        <v/>
      </c>
      <c r="N302" s="10"/>
      <c r="P302" s="10"/>
      <c r="S302" s="10"/>
      <c r="U302" s="11"/>
    </row>
    <row r="303" spans="8:21" x14ac:dyDescent="0.2">
      <c r="H303" s="7"/>
      <c r="I303" s="8" t="str">
        <f>IF(H303="","",IF(AND(OR(K303="rafmagn",K303="vetni"),H303&lt;Stillingar!$B$2),"já","nei"))</f>
        <v/>
      </c>
      <c r="J303" s="9" t="str">
        <f>IF(H303="","",IF(I303="já",H303-Stillingar!$B$3,H303))</f>
        <v/>
      </c>
      <c r="N303" s="10"/>
      <c r="P303" s="10"/>
      <c r="S303" s="10"/>
      <c r="U303" s="11"/>
    </row>
    <row r="304" spans="8:21" x14ac:dyDescent="0.2">
      <c r="H304" s="7"/>
      <c r="I304" s="8" t="str">
        <f>IF(H304="","",IF(AND(OR(K304="rafmagn",K304="vetni"),H304&lt;Stillingar!$B$2),"já","nei"))</f>
        <v/>
      </c>
      <c r="J304" s="9" t="str">
        <f>IF(H304="","",IF(I304="já",H304-Stillingar!$B$3,H304))</f>
        <v/>
      </c>
      <c r="N304" s="10"/>
      <c r="P304" s="10"/>
      <c r="S304" s="10"/>
      <c r="U304" s="11"/>
    </row>
    <row r="305" spans="8:21" x14ac:dyDescent="0.2">
      <c r="H305" s="7"/>
      <c r="I305" s="8" t="str">
        <f>IF(H305="","",IF(AND(OR(K305="rafmagn",K305="vetni"),H305&lt;Stillingar!$B$2),"já","nei"))</f>
        <v/>
      </c>
      <c r="J305" s="9" t="str">
        <f>IF(H305="","",IF(I305="já",H305-Stillingar!$B$3,H305))</f>
        <v/>
      </c>
      <c r="N305" s="10"/>
      <c r="P305" s="10"/>
      <c r="S305" s="10"/>
      <c r="U305" s="11"/>
    </row>
    <row r="306" spans="8:21" x14ac:dyDescent="0.2">
      <c r="H306" s="7"/>
      <c r="I306" s="8" t="str">
        <f>IF(H306="","",IF(AND(OR(K306="rafmagn",K306="vetni"),H306&lt;Stillingar!$B$2),"já","nei"))</f>
        <v/>
      </c>
      <c r="J306" s="9" t="str">
        <f>IF(H306="","",IF(I306="já",H306-Stillingar!$B$3,H306))</f>
        <v/>
      </c>
      <c r="N306" s="10"/>
      <c r="P306" s="10"/>
      <c r="S306" s="10"/>
      <c r="U306" s="11"/>
    </row>
    <row r="307" spans="8:21" x14ac:dyDescent="0.2">
      <c r="H307" s="7"/>
      <c r="I307" s="8" t="str">
        <f>IF(H307="","",IF(AND(OR(K307="rafmagn",K307="vetni"),H307&lt;Stillingar!$B$2),"já","nei"))</f>
        <v/>
      </c>
      <c r="J307" s="9" t="str">
        <f>IF(H307="","",IF(I307="já",H307-Stillingar!$B$3,H307))</f>
        <v/>
      </c>
      <c r="N307" s="10"/>
      <c r="P307" s="10"/>
      <c r="S307" s="10"/>
      <c r="U307" s="11"/>
    </row>
    <row r="308" spans="8:21" x14ac:dyDescent="0.2">
      <c r="H308" s="7"/>
      <c r="I308" s="8" t="str">
        <f>IF(H308="","",IF(AND(OR(K308="rafmagn",K308="vetni"),H308&lt;Stillingar!$B$2),"já","nei"))</f>
        <v/>
      </c>
      <c r="J308" s="9" t="str">
        <f>IF(H308="","",IF(I308="já",H308-Stillingar!$B$3,H308))</f>
        <v/>
      </c>
      <c r="N308" s="10"/>
      <c r="P308" s="10"/>
      <c r="S308" s="10"/>
      <c r="U308" s="11"/>
    </row>
    <row r="309" spans="8:21" x14ac:dyDescent="0.2">
      <c r="H309" s="7"/>
      <c r="I309" s="8" t="str">
        <f>IF(H309="","",IF(AND(OR(K309="rafmagn",K309="vetni"),H309&lt;Stillingar!$B$2),"já","nei"))</f>
        <v/>
      </c>
      <c r="J309" s="9" t="str">
        <f>IF(H309="","",IF(I309="já",H309-Stillingar!$B$3,H309))</f>
        <v/>
      </c>
      <c r="N309" s="10"/>
      <c r="P309" s="10"/>
      <c r="S309" s="10"/>
      <c r="U309" s="11"/>
    </row>
    <row r="310" spans="8:21" x14ac:dyDescent="0.2">
      <c r="H310" s="7"/>
      <c r="I310" s="8" t="str">
        <f>IF(H310="","",IF(AND(OR(K310="rafmagn",K310="vetni"),H310&lt;Stillingar!$B$2),"já","nei"))</f>
        <v/>
      </c>
      <c r="J310" s="9" t="str">
        <f>IF(H310="","",IF(I310="já",H310-Stillingar!$B$3,H310))</f>
        <v/>
      </c>
      <c r="N310" s="10"/>
      <c r="P310" s="10"/>
      <c r="S310" s="10"/>
      <c r="U310" s="11"/>
    </row>
    <row r="311" spans="8:21" x14ac:dyDescent="0.2">
      <c r="H311" s="7"/>
      <c r="I311" s="8" t="str">
        <f>IF(H311="","",IF(AND(OR(K311="rafmagn",K311="vetni"),H311&lt;Stillingar!$B$2),"já","nei"))</f>
        <v/>
      </c>
      <c r="J311" s="9" t="str">
        <f>IF(H311="","",IF(I311="já",H311-Stillingar!$B$3,H311))</f>
        <v/>
      </c>
      <c r="N311" s="10"/>
      <c r="P311" s="10"/>
      <c r="S311" s="10"/>
      <c r="U311" s="11"/>
    </row>
    <row r="312" spans="8:21" x14ac:dyDescent="0.2">
      <c r="H312" s="7"/>
      <c r="I312" s="8" t="str">
        <f>IF(H312="","",IF(AND(OR(K312="rafmagn",K312="vetni"),H312&lt;Stillingar!$B$2),"já","nei"))</f>
        <v/>
      </c>
      <c r="J312" s="9" t="str">
        <f>IF(H312="","",IF(I312="já",H312-Stillingar!$B$3,H312))</f>
        <v/>
      </c>
      <c r="N312" s="10"/>
      <c r="P312" s="10"/>
      <c r="S312" s="10"/>
      <c r="U312" s="11"/>
    </row>
    <row r="313" spans="8:21" x14ac:dyDescent="0.2">
      <c r="H313" s="7"/>
      <c r="I313" s="8" t="str">
        <f>IF(H313="","",IF(AND(OR(K313="rafmagn",K313="vetni"),H313&lt;Stillingar!$B$2),"já","nei"))</f>
        <v/>
      </c>
      <c r="J313" s="9" t="str">
        <f>IF(H313="","",IF(I313="já",H313-Stillingar!$B$3,H313))</f>
        <v/>
      </c>
      <c r="N313" s="10"/>
      <c r="P313" s="10"/>
      <c r="S313" s="10"/>
      <c r="U313" s="11"/>
    </row>
    <row r="314" spans="8:21" x14ac:dyDescent="0.2">
      <c r="H314" s="7"/>
      <c r="I314" s="8" t="str">
        <f>IF(H314="","",IF(AND(OR(K314="rafmagn",K314="vetni"),H314&lt;Stillingar!$B$2),"já","nei"))</f>
        <v/>
      </c>
      <c r="J314" s="9" t="str">
        <f>IF(H314="","",IF(I314="já",H314-Stillingar!$B$3,H314))</f>
        <v/>
      </c>
      <c r="N314" s="10"/>
      <c r="P314" s="10"/>
      <c r="S314" s="10"/>
      <c r="U314" s="11"/>
    </row>
    <row r="315" spans="8:21" x14ac:dyDescent="0.2">
      <c r="H315" s="7"/>
      <c r="I315" s="8" t="str">
        <f>IF(H315="","",IF(AND(OR(K315="rafmagn",K315="vetni"),H315&lt;Stillingar!$B$2),"já","nei"))</f>
        <v/>
      </c>
      <c r="J315" s="9" t="str">
        <f>IF(H315="","",IF(I315="já",H315-Stillingar!$B$3,H315))</f>
        <v/>
      </c>
      <c r="N315" s="10"/>
      <c r="P315" s="10"/>
      <c r="S315" s="10"/>
      <c r="U315" s="11"/>
    </row>
    <row r="316" spans="8:21" x14ac:dyDescent="0.2">
      <c r="H316" s="7"/>
      <c r="I316" s="8" t="str">
        <f>IF(H316="","",IF(AND(OR(K316="rafmagn",K316="vetni"),H316&lt;Stillingar!$B$2),"já","nei"))</f>
        <v/>
      </c>
      <c r="J316" s="9" t="str">
        <f>IF(H316="","",IF(I316="já",H316-Stillingar!$B$3,H316))</f>
        <v/>
      </c>
      <c r="N316" s="10"/>
      <c r="P316" s="10"/>
      <c r="S316" s="10"/>
      <c r="U316" s="11"/>
    </row>
    <row r="317" spans="8:21" x14ac:dyDescent="0.2">
      <c r="H317" s="7"/>
      <c r="I317" s="8" t="str">
        <f>IF(H317="","",IF(AND(OR(K317="rafmagn",K317="vetni"),H317&lt;Stillingar!$B$2),"já","nei"))</f>
        <v/>
      </c>
      <c r="J317" s="9" t="str">
        <f>IF(H317="","",IF(I317="já",H317-Stillingar!$B$3,H317))</f>
        <v/>
      </c>
      <c r="N317" s="10"/>
      <c r="P317" s="10"/>
      <c r="S317" s="10"/>
      <c r="U317" s="11"/>
    </row>
    <row r="318" spans="8:21" x14ac:dyDescent="0.2">
      <c r="H318" s="7"/>
      <c r="I318" s="8" t="str">
        <f>IF(H318="","",IF(AND(OR(K318="rafmagn",K318="vetni"),H318&lt;Stillingar!$B$2),"já","nei"))</f>
        <v/>
      </c>
      <c r="J318" s="9" t="str">
        <f>IF(H318="","",IF(I318="já",H318-Stillingar!$B$3,H318))</f>
        <v/>
      </c>
      <c r="N318" s="10"/>
      <c r="P318" s="10"/>
      <c r="S318" s="10"/>
      <c r="U318" s="11"/>
    </row>
    <row r="319" spans="8:21" x14ac:dyDescent="0.2">
      <c r="H319" s="7"/>
      <c r="I319" s="8" t="str">
        <f>IF(H319="","",IF(AND(OR(K319="rafmagn",K319="vetni"),H319&lt;Stillingar!$B$2),"já","nei"))</f>
        <v/>
      </c>
      <c r="J319" s="9" t="str">
        <f>IF(H319="","",IF(I319="já",H319-Stillingar!$B$3,H319))</f>
        <v/>
      </c>
      <c r="N319" s="10"/>
      <c r="P319" s="10"/>
      <c r="S319" s="10"/>
      <c r="U319" s="11"/>
    </row>
    <row r="320" spans="8:21" x14ac:dyDescent="0.2">
      <c r="H320" s="7"/>
      <c r="I320" s="8" t="str">
        <f>IF(H320="","",IF(AND(OR(K320="rafmagn",K320="vetni"),H320&lt;Stillingar!$B$2),"já","nei"))</f>
        <v/>
      </c>
      <c r="J320" s="9" t="str">
        <f>IF(H320="","",IF(I320="já",H320-Stillingar!$B$3,H320))</f>
        <v/>
      </c>
      <c r="N320" s="10"/>
      <c r="P320" s="10"/>
      <c r="S320" s="10"/>
      <c r="U320" s="11"/>
    </row>
    <row r="321" spans="8:21" x14ac:dyDescent="0.2">
      <c r="H321" s="7"/>
      <c r="I321" s="8" t="str">
        <f>IF(H321="","",IF(AND(OR(K321="rafmagn",K321="vetni"),H321&lt;Stillingar!$B$2),"já","nei"))</f>
        <v/>
      </c>
      <c r="J321" s="9" t="str">
        <f>IF(H321="","",IF(I321="já",H321-Stillingar!$B$3,H321))</f>
        <v/>
      </c>
      <c r="N321" s="10"/>
      <c r="P321" s="10"/>
      <c r="S321" s="10"/>
      <c r="U321" s="11"/>
    </row>
    <row r="322" spans="8:21" x14ac:dyDescent="0.2">
      <c r="H322" s="7"/>
      <c r="I322" s="8" t="str">
        <f>IF(H322="","",IF(AND(OR(K322="rafmagn",K322="vetni"),H322&lt;Stillingar!$B$2),"já","nei"))</f>
        <v/>
      </c>
      <c r="J322" s="9" t="str">
        <f>IF(H322="","",IF(I322="já",H322-Stillingar!$B$3,H322))</f>
        <v/>
      </c>
      <c r="N322" s="10"/>
      <c r="P322" s="10"/>
      <c r="S322" s="10"/>
      <c r="U322" s="11"/>
    </row>
    <row r="323" spans="8:21" x14ac:dyDescent="0.2">
      <c r="H323" s="7"/>
      <c r="I323" s="8" t="str">
        <f>IF(H323="","",IF(AND(OR(K323="rafmagn",K323="vetni"),H323&lt;Stillingar!$B$2),"já","nei"))</f>
        <v/>
      </c>
      <c r="J323" s="9" t="str">
        <f>IF(H323="","",IF(I323="já",H323-Stillingar!$B$3,H323))</f>
        <v/>
      </c>
      <c r="N323" s="10"/>
      <c r="P323" s="10"/>
      <c r="S323" s="10"/>
      <c r="U323" s="11"/>
    </row>
    <row r="324" spans="8:21" x14ac:dyDescent="0.2">
      <c r="H324" s="7"/>
      <c r="I324" s="8" t="str">
        <f>IF(H324="","",IF(AND(OR(K324="rafmagn",K324="vetni"),H324&lt;Stillingar!$B$2),"já","nei"))</f>
        <v/>
      </c>
      <c r="J324" s="9" t="str">
        <f>IF(H324="","",IF(I324="já",H324-Stillingar!$B$3,H324))</f>
        <v/>
      </c>
      <c r="N324" s="10"/>
      <c r="P324" s="10"/>
      <c r="S324" s="10"/>
      <c r="U324" s="11"/>
    </row>
    <row r="325" spans="8:21" x14ac:dyDescent="0.2">
      <c r="H325" s="7"/>
      <c r="I325" s="8" t="str">
        <f>IF(H325="","",IF(AND(OR(K325="rafmagn",K325="vetni"),H325&lt;Stillingar!$B$2),"já","nei"))</f>
        <v/>
      </c>
      <c r="J325" s="9" t="str">
        <f>IF(H325="","",IF(I325="já",H325-Stillingar!$B$3,H325))</f>
        <v/>
      </c>
      <c r="N325" s="10"/>
      <c r="P325" s="10"/>
      <c r="S325" s="10"/>
      <c r="U325" s="11"/>
    </row>
    <row r="326" spans="8:21" x14ac:dyDescent="0.2">
      <c r="H326" s="7"/>
      <c r="I326" s="8" t="str">
        <f>IF(H326="","",IF(AND(OR(K326="rafmagn",K326="vetni"),H326&lt;Stillingar!$B$2),"já","nei"))</f>
        <v/>
      </c>
      <c r="J326" s="9" t="str">
        <f>IF(H326="","",IF(I326="já",H326-Stillingar!$B$3,H326))</f>
        <v/>
      </c>
      <c r="N326" s="10"/>
      <c r="P326" s="10"/>
      <c r="S326" s="10"/>
      <c r="U326" s="11"/>
    </row>
    <row r="327" spans="8:21" x14ac:dyDescent="0.2">
      <c r="H327" s="7"/>
      <c r="I327" s="8" t="str">
        <f>IF(H327="","",IF(AND(OR(K327="rafmagn",K327="vetni"),H327&lt;Stillingar!$B$2),"já","nei"))</f>
        <v/>
      </c>
      <c r="J327" s="9" t="str">
        <f>IF(H327="","",IF(I327="já",H327-Stillingar!$B$3,H327))</f>
        <v/>
      </c>
      <c r="N327" s="10"/>
      <c r="P327" s="10"/>
      <c r="S327" s="10"/>
      <c r="U327" s="11"/>
    </row>
    <row r="328" spans="8:21" x14ac:dyDescent="0.2">
      <c r="H328" s="7"/>
      <c r="I328" s="8" t="str">
        <f>IF(H328="","",IF(AND(OR(K328="rafmagn",K328="vetni"),H328&lt;Stillingar!$B$2),"já","nei"))</f>
        <v/>
      </c>
      <c r="J328" s="9" t="str">
        <f>IF(H328="","",IF(I328="já",H328-Stillingar!$B$3,H328))</f>
        <v/>
      </c>
      <c r="N328" s="10"/>
      <c r="P328" s="10"/>
      <c r="S328" s="10"/>
      <c r="U328" s="11"/>
    </row>
    <row r="329" spans="8:21" x14ac:dyDescent="0.2">
      <c r="H329" s="7"/>
      <c r="I329" s="8" t="str">
        <f>IF(H329="","",IF(AND(OR(K329="rafmagn",K329="vetni"),H329&lt;Stillingar!$B$2),"já","nei"))</f>
        <v/>
      </c>
      <c r="J329" s="9" t="str">
        <f>IF(H329="","",IF(I329="já",H329-Stillingar!$B$3,H329))</f>
        <v/>
      </c>
      <c r="N329" s="10"/>
      <c r="P329" s="10"/>
      <c r="S329" s="10"/>
      <c r="U329" s="11"/>
    </row>
    <row r="330" spans="8:21" x14ac:dyDescent="0.2">
      <c r="H330" s="7"/>
      <c r="I330" s="8" t="str">
        <f>IF(H330="","",IF(AND(OR(K330="rafmagn",K330="vetni"),H330&lt;Stillingar!$B$2),"já","nei"))</f>
        <v/>
      </c>
      <c r="J330" s="9" t="str">
        <f>IF(H330="","",IF(I330="já",H330-Stillingar!$B$3,H330))</f>
        <v/>
      </c>
      <c r="N330" s="10"/>
      <c r="P330" s="10"/>
      <c r="S330" s="10"/>
      <c r="U330" s="11"/>
    </row>
    <row r="331" spans="8:21" x14ac:dyDescent="0.2">
      <c r="H331" s="7"/>
      <c r="I331" s="8" t="str">
        <f>IF(H331="","",IF(AND(OR(K331="rafmagn",K331="vetni"),H331&lt;Stillingar!$B$2),"já","nei"))</f>
        <v/>
      </c>
      <c r="J331" s="9" t="str">
        <f>IF(H331="","",IF(I331="já",H331-Stillingar!$B$3,H331))</f>
        <v/>
      </c>
      <c r="N331" s="10"/>
      <c r="P331" s="10"/>
      <c r="S331" s="10"/>
      <c r="U331" s="11"/>
    </row>
    <row r="332" spans="8:21" x14ac:dyDescent="0.2">
      <c r="H332" s="7"/>
      <c r="I332" s="8" t="str">
        <f>IF(H332="","",IF(AND(OR(K332="rafmagn",K332="vetni"),H332&lt;Stillingar!$B$2),"já","nei"))</f>
        <v/>
      </c>
      <c r="J332" s="9" t="str">
        <f>IF(H332="","",IF(I332="já",H332-Stillingar!$B$3,H332))</f>
        <v/>
      </c>
      <c r="N332" s="10"/>
      <c r="P332" s="10"/>
      <c r="S332" s="10"/>
      <c r="U332" s="11"/>
    </row>
    <row r="333" spans="8:21" x14ac:dyDescent="0.2">
      <c r="H333" s="7"/>
      <c r="I333" s="8" t="str">
        <f>IF(H333="","",IF(AND(OR(K333="rafmagn",K333="vetni"),H333&lt;Stillingar!$B$2),"já","nei"))</f>
        <v/>
      </c>
      <c r="J333" s="9" t="str">
        <f>IF(H333="","",IF(I333="já",H333-Stillingar!$B$3,H333))</f>
        <v/>
      </c>
      <c r="N333" s="10"/>
      <c r="P333" s="10"/>
      <c r="S333" s="10"/>
      <c r="U333" s="11"/>
    </row>
    <row r="334" spans="8:21" x14ac:dyDescent="0.2">
      <c r="H334" s="7"/>
      <c r="I334" s="8" t="str">
        <f>IF(H334="","",IF(AND(OR(K334="rafmagn",K334="vetni"),H334&lt;Stillingar!$B$2),"já","nei"))</f>
        <v/>
      </c>
      <c r="J334" s="9" t="str">
        <f>IF(H334="","",IF(I334="já",H334-Stillingar!$B$3,H334))</f>
        <v/>
      </c>
      <c r="N334" s="10"/>
      <c r="P334" s="10"/>
      <c r="S334" s="10"/>
      <c r="U334" s="11"/>
    </row>
    <row r="335" spans="8:21" x14ac:dyDescent="0.2">
      <c r="H335" s="7"/>
      <c r="I335" s="8" t="str">
        <f>IF(H335="","",IF(AND(OR(K335="rafmagn",K335="vetni"),H335&lt;Stillingar!$B$2),"já","nei"))</f>
        <v/>
      </c>
      <c r="J335" s="9" t="str">
        <f>IF(H335="","",IF(I335="já",H335-Stillingar!$B$3,H335))</f>
        <v/>
      </c>
      <c r="N335" s="10"/>
      <c r="P335" s="10"/>
      <c r="S335" s="10"/>
      <c r="U335" s="11"/>
    </row>
    <row r="336" spans="8:21" x14ac:dyDescent="0.2">
      <c r="H336" s="7"/>
      <c r="I336" s="8" t="str">
        <f>IF(H336="","",IF(AND(OR(K336="rafmagn",K336="vetni"),H336&lt;Stillingar!$B$2),"já","nei"))</f>
        <v/>
      </c>
      <c r="J336" s="9" t="str">
        <f>IF(H336="","",IF(I336="já",H336-Stillingar!$B$3,H336))</f>
        <v/>
      </c>
      <c r="N336" s="10"/>
      <c r="P336" s="10"/>
      <c r="S336" s="10"/>
      <c r="U336" s="11"/>
    </row>
    <row r="337" spans="8:21" x14ac:dyDescent="0.2">
      <c r="H337" s="7"/>
      <c r="I337" s="8" t="str">
        <f>IF(H337="","",IF(AND(OR(K337="rafmagn",K337="vetni"),H337&lt;Stillingar!$B$2),"já","nei"))</f>
        <v/>
      </c>
      <c r="J337" s="9" t="str">
        <f>IF(H337="","",IF(I337="já",H337-Stillingar!$B$3,H337))</f>
        <v/>
      </c>
      <c r="N337" s="10"/>
      <c r="P337" s="10"/>
      <c r="S337" s="10"/>
      <c r="U337" s="11"/>
    </row>
    <row r="338" spans="8:21" x14ac:dyDescent="0.2">
      <c r="H338" s="7"/>
      <c r="I338" s="8" t="str">
        <f>IF(H338="","",IF(AND(OR(K338="rafmagn",K338="vetni"),H338&lt;Stillingar!$B$2),"já","nei"))</f>
        <v/>
      </c>
      <c r="J338" s="9" t="str">
        <f>IF(H338="","",IF(I338="já",H338-Stillingar!$B$3,H338))</f>
        <v/>
      </c>
      <c r="N338" s="10"/>
      <c r="P338" s="10"/>
      <c r="S338" s="10"/>
      <c r="U338" s="11"/>
    </row>
    <row r="339" spans="8:21" x14ac:dyDescent="0.2">
      <c r="H339" s="7"/>
      <c r="I339" s="8" t="str">
        <f>IF(H339="","",IF(AND(OR(K339="rafmagn",K339="vetni"),H339&lt;Stillingar!$B$2),"já","nei"))</f>
        <v/>
      </c>
      <c r="J339" s="9" t="str">
        <f>IF(H339="","",IF(I339="já",H339-Stillingar!$B$3,H339))</f>
        <v/>
      </c>
      <c r="N339" s="10"/>
      <c r="P339" s="10"/>
      <c r="S339" s="10"/>
      <c r="U339" s="11"/>
    </row>
    <row r="340" spans="8:21" x14ac:dyDescent="0.2">
      <c r="H340" s="7"/>
      <c r="I340" s="8" t="str">
        <f>IF(H340="","",IF(AND(OR(K340="rafmagn",K340="vetni"),H340&lt;Stillingar!$B$2),"já","nei"))</f>
        <v/>
      </c>
      <c r="J340" s="9" t="str">
        <f>IF(H340="","",IF(I340="já",H340-Stillingar!$B$3,H340))</f>
        <v/>
      </c>
      <c r="N340" s="10"/>
      <c r="P340" s="10"/>
      <c r="S340" s="10"/>
      <c r="U340" s="11"/>
    </row>
    <row r="341" spans="8:21" x14ac:dyDescent="0.2">
      <c r="H341" s="7"/>
      <c r="I341" s="8" t="str">
        <f>IF(H341="","",IF(AND(OR(K341="rafmagn",K341="vetni"),H341&lt;Stillingar!$B$2),"já","nei"))</f>
        <v/>
      </c>
      <c r="J341" s="9" t="str">
        <f>IF(H341="","",IF(I341="já",H341-Stillingar!$B$3,H341))</f>
        <v/>
      </c>
      <c r="N341" s="10"/>
      <c r="P341" s="10"/>
      <c r="S341" s="10"/>
      <c r="U341" s="11"/>
    </row>
    <row r="342" spans="8:21" x14ac:dyDescent="0.2">
      <c r="H342" s="7"/>
      <c r="I342" s="8" t="str">
        <f>IF(H342="","",IF(AND(OR(K342="rafmagn",K342="vetni"),H342&lt;Stillingar!$B$2),"já","nei"))</f>
        <v/>
      </c>
      <c r="J342" s="9" t="str">
        <f>IF(H342="","",IF(I342="já",H342-Stillingar!$B$3,H342))</f>
        <v/>
      </c>
      <c r="N342" s="10"/>
      <c r="P342" s="10"/>
      <c r="S342" s="10"/>
      <c r="U342" s="11"/>
    </row>
    <row r="343" spans="8:21" x14ac:dyDescent="0.2">
      <c r="H343" s="7"/>
      <c r="I343" s="8" t="str">
        <f>IF(H343="","",IF(AND(OR(K343="rafmagn",K343="vetni"),H343&lt;Stillingar!$B$2),"já","nei"))</f>
        <v/>
      </c>
      <c r="J343" s="9" t="str">
        <f>IF(H343="","",IF(I343="já",H343-Stillingar!$B$3,H343))</f>
        <v/>
      </c>
      <c r="N343" s="10"/>
      <c r="P343" s="10"/>
      <c r="S343" s="10"/>
      <c r="U343" s="11"/>
    </row>
    <row r="344" spans="8:21" x14ac:dyDescent="0.2">
      <c r="H344" s="7"/>
      <c r="I344" s="8" t="str">
        <f>IF(H344="","",IF(AND(OR(K344="rafmagn",K344="vetni"),H344&lt;Stillingar!$B$2),"já","nei"))</f>
        <v/>
      </c>
      <c r="J344" s="9" t="str">
        <f>IF(H344="","",IF(I344="já",H344-Stillingar!$B$3,H344))</f>
        <v/>
      </c>
      <c r="N344" s="10"/>
      <c r="P344" s="10"/>
      <c r="S344" s="10"/>
      <c r="U344" s="11"/>
    </row>
    <row r="345" spans="8:21" x14ac:dyDescent="0.2">
      <c r="H345" s="7"/>
      <c r="I345" s="8" t="str">
        <f>IF(H345="","",IF(AND(OR(K345="rafmagn",K345="vetni"),H345&lt;Stillingar!$B$2),"já","nei"))</f>
        <v/>
      </c>
      <c r="J345" s="9" t="str">
        <f>IF(H345="","",IF(I345="já",H345-Stillingar!$B$3,H345))</f>
        <v/>
      </c>
      <c r="N345" s="10"/>
      <c r="P345" s="10"/>
      <c r="S345" s="10"/>
      <c r="U345" s="11"/>
    </row>
    <row r="346" spans="8:21" x14ac:dyDescent="0.2">
      <c r="H346" s="7"/>
      <c r="I346" s="8" t="str">
        <f>IF(H346="","",IF(AND(OR(K346="rafmagn",K346="vetni"),H346&lt;Stillingar!$B$2),"já","nei"))</f>
        <v/>
      </c>
      <c r="J346" s="9" t="str">
        <f>IF(H346="","",IF(I346="já",H346-Stillingar!$B$3,H346))</f>
        <v/>
      </c>
      <c r="N346" s="10"/>
      <c r="P346" s="10"/>
      <c r="S346" s="10"/>
      <c r="U346" s="11"/>
    </row>
    <row r="347" spans="8:21" x14ac:dyDescent="0.2">
      <c r="H347" s="7"/>
      <c r="I347" s="8" t="str">
        <f>IF(H347="","",IF(AND(OR(K347="rafmagn",K347="vetni"),H347&lt;Stillingar!$B$2),"já","nei"))</f>
        <v/>
      </c>
      <c r="J347" s="9" t="str">
        <f>IF(H347="","",IF(I347="já",H347-Stillingar!$B$3,H347))</f>
        <v/>
      </c>
      <c r="N347" s="10"/>
      <c r="P347" s="10"/>
      <c r="S347" s="10"/>
      <c r="U347" s="11"/>
    </row>
    <row r="348" spans="8:21" x14ac:dyDescent="0.2">
      <c r="H348" s="7"/>
      <c r="I348" s="8" t="str">
        <f>IF(H348="","",IF(AND(OR(K348="rafmagn",K348="vetni"),H348&lt;Stillingar!$B$2),"já","nei"))</f>
        <v/>
      </c>
      <c r="J348" s="9" t="str">
        <f>IF(H348="","",IF(I348="já",H348-Stillingar!$B$3,H348))</f>
        <v/>
      </c>
      <c r="N348" s="10"/>
      <c r="P348" s="10"/>
      <c r="S348" s="10"/>
      <c r="U348" s="11"/>
    </row>
    <row r="349" spans="8:21" x14ac:dyDescent="0.2">
      <c r="H349" s="7"/>
      <c r="I349" s="8" t="str">
        <f>IF(H349="","",IF(AND(OR(K349="rafmagn",K349="vetni"),H349&lt;Stillingar!$B$2),"já","nei"))</f>
        <v/>
      </c>
      <c r="J349" s="9" t="str">
        <f>IF(H349="","",IF(I349="já",H349-Stillingar!$B$3,H349))</f>
        <v/>
      </c>
      <c r="N349" s="10"/>
      <c r="P349" s="10"/>
      <c r="S349" s="10"/>
      <c r="U349" s="11"/>
    </row>
    <row r="350" spans="8:21" x14ac:dyDescent="0.2">
      <c r="H350" s="7"/>
      <c r="I350" s="8" t="str">
        <f>IF(H350="","",IF(AND(OR(K350="rafmagn",K350="vetni"),H350&lt;Stillingar!$B$2),"já","nei"))</f>
        <v/>
      </c>
      <c r="J350" s="9" t="str">
        <f>IF(H350="","",IF(I350="já",H350-Stillingar!$B$3,H350))</f>
        <v/>
      </c>
      <c r="N350" s="10"/>
      <c r="P350" s="10"/>
      <c r="S350" s="10"/>
      <c r="U350" s="11"/>
    </row>
    <row r="351" spans="8:21" x14ac:dyDescent="0.2">
      <c r="H351" s="7"/>
      <c r="I351" s="8" t="str">
        <f>IF(H351="","",IF(AND(OR(K351="rafmagn",K351="vetni"),H351&lt;Stillingar!$B$2),"já","nei"))</f>
        <v/>
      </c>
      <c r="J351" s="9" t="str">
        <f>IF(H351="","",IF(I351="já",H351-Stillingar!$B$3,H351))</f>
        <v/>
      </c>
      <c r="N351" s="10"/>
      <c r="P351" s="10"/>
      <c r="S351" s="10"/>
      <c r="U351" s="11"/>
    </row>
    <row r="352" spans="8:21" x14ac:dyDescent="0.2">
      <c r="H352" s="7"/>
      <c r="I352" s="8" t="str">
        <f>IF(H352="","",IF(AND(OR(K352="rafmagn",K352="vetni"),H352&lt;Stillingar!$B$2),"já","nei"))</f>
        <v/>
      </c>
      <c r="J352" s="9" t="str">
        <f>IF(H352="","",IF(I352="já",H352-Stillingar!$B$3,H352))</f>
        <v/>
      </c>
      <c r="N352" s="10"/>
      <c r="P352" s="10"/>
      <c r="S352" s="10"/>
      <c r="U352" s="11"/>
    </row>
    <row r="353" spans="8:21" x14ac:dyDescent="0.2">
      <c r="H353" s="7"/>
      <c r="I353" s="8" t="str">
        <f>IF(H353="","",IF(AND(OR(K353="rafmagn",K353="vetni"),H353&lt;Stillingar!$B$2),"já","nei"))</f>
        <v/>
      </c>
      <c r="J353" s="9" t="str">
        <f>IF(H353="","",IF(I353="já",H353-Stillingar!$B$3,H353))</f>
        <v/>
      </c>
      <c r="N353" s="10"/>
      <c r="P353" s="10"/>
      <c r="S353" s="10"/>
      <c r="U353" s="11"/>
    </row>
    <row r="354" spans="8:21" x14ac:dyDescent="0.2">
      <c r="H354" s="7"/>
      <c r="I354" s="8" t="str">
        <f>IF(H354="","",IF(AND(OR(K354="rafmagn",K354="vetni"),H354&lt;Stillingar!$B$2),"já","nei"))</f>
        <v/>
      </c>
      <c r="J354" s="9" t="str">
        <f>IF(H354="","",IF(I354="já",H354-Stillingar!$B$3,H354))</f>
        <v/>
      </c>
      <c r="N354" s="10"/>
      <c r="P354" s="10"/>
      <c r="S354" s="10"/>
      <c r="U354" s="11"/>
    </row>
    <row r="355" spans="8:21" x14ac:dyDescent="0.2">
      <c r="H355" s="7"/>
      <c r="I355" s="8" t="str">
        <f>IF(H355="","",IF(AND(OR(K355="rafmagn",K355="vetni"),H355&lt;Stillingar!$B$2),"já","nei"))</f>
        <v/>
      </c>
      <c r="J355" s="9" t="str">
        <f>IF(H355="","",IF(I355="já",H355-Stillingar!$B$3,H355))</f>
        <v/>
      </c>
      <c r="N355" s="10"/>
      <c r="P355" s="10"/>
      <c r="S355" s="10"/>
      <c r="U355" s="11"/>
    </row>
    <row r="356" spans="8:21" x14ac:dyDescent="0.2">
      <c r="H356" s="7"/>
      <c r="I356" s="8" t="str">
        <f>IF(H356="","",IF(AND(OR(K356="rafmagn",K356="vetni"),H356&lt;Stillingar!$B$2),"já","nei"))</f>
        <v/>
      </c>
      <c r="J356" s="9" t="str">
        <f>IF(H356="","",IF(I356="já",H356-Stillingar!$B$3,H356))</f>
        <v/>
      </c>
      <c r="N356" s="10"/>
      <c r="P356" s="10"/>
      <c r="S356" s="10"/>
      <c r="U356" s="11"/>
    </row>
    <row r="357" spans="8:21" x14ac:dyDescent="0.2">
      <c r="H357" s="7"/>
      <c r="I357" s="8" t="str">
        <f>IF(H357="","",IF(AND(OR(K357="rafmagn",K357="vetni"),H357&lt;Stillingar!$B$2),"já","nei"))</f>
        <v/>
      </c>
      <c r="J357" s="9" t="str">
        <f>IF(H357="","",IF(I357="já",H357-Stillingar!$B$3,H357))</f>
        <v/>
      </c>
      <c r="N357" s="10"/>
      <c r="P357" s="10"/>
      <c r="S357" s="10"/>
      <c r="U357" s="11"/>
    </row>
    <row r="358" spans="8:21" x14ac:dyDescent="0.2">
      <c r="H358" s="7"/>
      <c r="I358" s="8" t="str">
        <f>IF(H358="","",IF(AND(OR(K358="rafmagn",K358="vetni"),H358&lt;Stillingar!$B$2),"já","nei"))</f>
        <v/>
      </c>
      <c r="J358" s="9" t="str">
        <f>IF(H358="","",IF(I358="já",H358-Stillingar!$B$3,H358))</f>
        <v/>
      </c>
      <c r="N358" s="10"/>
      <c r="P358" s="10"/>
      <c r="S358" s="10"/>
      <c r="U358" s="11"/>
    </row>
    <row r="359" spans="8:21" x14ac:dyDescent="0.2">
      <c r="H359" s="7"/>
      <c r="I359" s="8" t="str">
        <f>IF(H359="","",IF(AND(OR(K359="rafmagn",K359="vetni"),H359&lt;Stillingar!$B$2),"já","nei"))</f>
        <v/>
      </c>
      <c r="J359" s="9" t="str">
        <f>IF(H359="","",IF(I359="já",H359-Stillingar!$B$3,H359))</f>
        <v/>
      </c>
      <c r="N359" s="10"/>
      <c r="P359" s="10"/>
      <c r="S359" s="10"/>
      <c r="U359" s="11"/>
    </row>
    <row r="360" spans="8:21" x14ac:dyDescent="0.2">
      <c r="H360" s="7"/>
      <c r="I360" s="8" t="str">
        <f>IF(H360="","",IF(AND(OR(K360="rafmagn",K360="vetni"),H360&lt;Stillingar!$B$2),"já","nei"))</f>
        <v/>
      </c>
      <c r="J360" s="9" t="str">
        <f>IF(H360="","",IF(I360="já",H360-Stillingar!$B$3,H360))</f>
        <v/>
      </c>
      <c r="N360" s="10"/>
      <c r="P360" s="10"/>
      <c r="S360" s="10"/>
      <c r="U360" s="11"/>
    </row>
    <row r="361" spans="8:21" x14ac:dyDescent="0.2">
      <c r="H361" s="7"/>
      <c r="I361" s="8" t="str">
        <f>IF(H361="","",IF(AND(OR(K361="rafmagn",K361="vetni"),H361&lt;Stillingar!$B$2),"já","nei"))</f>
        <v/>
      </c>
      <c r="J361" s="9" t="str">
        <f>IF(H361="","",IF(I361="já",H361-Stillingar!$B$3,H361))</f>
        <v/>
      </c>
      <c r="N361" s="10"/>
      <c r="P361" s="10"/>
      <c r="S361" s="10"/>
      <c r="U361" s="11"/>
    </row>
    <row r="362" spans="8:21" x14ac:dyDescent="0.2">
      <c r="H362" s="7"/>
      <c r="I362" s="8" t="str">
        <f>IF(H362="","",IF(AND(OR(K362="rafmagn",K362="vetni"),H362&lt;Stillingar!$B$2),"já","nei"))</f>
        <v/>
      </c>
      <c r="J362" s="9" t="str">
        <f>IF(H362="","",IF(I362="já",H362-Stillingar!$B$3,H362))</f>
        <v/>
      </c>
      <c r="N362" s="10"/>
      <c r="P362" s="10"/>
      <c r="S362" s="10"/>
      <c r="U362" s="11"/>
    </row>
    <row r="363" spans="8:21" x14ac:dyDescent="0.2">
      <c r="H363" s="7"/>
      <c r="I363" s="8" t="str">
        <f>IF(H363="","",IF(AND(OR(K363="rafmagn",K363="vetni"),H363&lt;Stillingar!$B$2),"já","nei"))</f>
        <v/>
      </c>
      <c r="J363" s="9" t="str">
        <f>IF(H363="","",IF(I363="já",H363-Stillingar!$B$3,H363))</f>
        <v/>
      </c>
      <c r="N363" s="10"/>
      <c r="P363" s="10"/>
      <c r="S363" s="10"/>
      <c r="U363" s="11"/>
    </row>
    <row r="364" spans="8:21" x14ac:dyDescent="0.2">
      <c r="H364" s="7"/>
      <c r="I364" s="8" t="str">
        <f>IF(H364="","",IF(AND(OR(K364="rafmagn",K364="vetni"),H364&lt;Stillingar!$B$2),"já","nei"))</f>
        <v/>
      </c>
      <c r="J364" s="9" t="str">
        <f>IF(H364="","",IF(I364="já",H364-Stillingar!$B$3,H364))</f>
        <v/>
      </c>
      <c r="N364" s="10"/>
      <c r="P364" s="10"/>
      <c r="S364" s="10"/>
      <c r="U364" s="11"/>
    </row>
    <row r="365" spans="8:21" x14ac:dyDescent="0.2">
      <c r="H365" s="7"/>
      <c r="I365" s="8" t="str">
        <f>IF(H365="","",IF(AND(OR(K365="rafmagn",K365="vetni"),H365&lt;Stillingar!$B$2),"já","nei"))</f>
        <v/>
      </c>
      <c r="J365" s="9" t="str">
        <f>IF(H365="","",IF(I365="já",H365-Stillingar!$B$3,H365))</f>
        <v/>
      </c>
      <c r="N365" s="10"/>
      <c r="P365" s="10"/>
      <c r="S365" s="10"/>
      <c r="U365" s="11"/>
    </row>
    <row r="366" spans="8:21" x14ac:dyDescent="0.2">
      <c r="H366" s="7"/>
      <c r="I366" s="8" t="str">
        <f>IF(H366="","",IF(AND(OR(K366="rafmagn",K366="vetni"),H366&lt;Stillingar!$B$2),"já","nei"))</f>
        <v/>
      </c>
      <c r="J366" s="9" t="str">
        <f>IF(H366="","",IF(I366="já",H366-Stillingar!$B$3,H366))</f>
        <v/>
      </c>
      <c r="N366" s="10"/>
      <c r="P366" s="10"/>
      <c r="S366" s="10"/>
      <c r="U366" s="11"/>
    </row>
    <row r="367" spans="8:21" x14ac:dyDescent="0.2">
      <c r="H367" s="7"/>
      <c r="I367" s="8" t="str">
        <f>IF(H367="","",IF(AND(OR(K367="rafmagn",K367="vetni"),H367&lt;Stillingar!$B$2),"já","nei"))</f>
        <v/>
      </c>
      <c r="J367" s="9" t="str">
        <f>IF(H367="","",IF(I367="já",H367-Stillingar!$B$3,H367))</f>
        <v/>
      </c>
      <c r="N367" s="10"/>
      <c r="P367" s="10"/>
      <c r="S367" s="10"/>
      <c r="U367" s="11"/>
    </row>
    <row r="368" spans="8:21" x14ac:dyDescent="0.2">
      <c r="H368" s="7"/>
      <c r="I368" s="8" t="str">
        <f>IF(H368="","",IF(AND(OR(K368="rafmagn",K368="vetni"),H368&lt;Stillingar!$B$2),"já","nei"))</f>
        <v/>
      </c>
      <c r="J368" s="9" t="str">
        <f>IF(H368="","",IF(I368="já",H368-Stillingar!$B$3,H368))</f>
        <v/>
      </c>
      <c r="N368" s="10"/>
      <c r="P368" s="10"/>
      <c r="S368" s="10"/>
      <c r="U368" s="11"/>
    </row>
    <row r="369" spans="8:21" x14ac:dyDescent="0.2">
      <c r="H369" s="7"/>
      <c r="I369" s="8" t="str">
        <f>IF(H369="","",IF(AND(OR(K369="rafmagn",K369="vetni"),H369&lt;Stillingar!$B$2),"já","nei"))</f>
        <v/>
      </c>
      <c r="J369" s="9" t="str">
        <f>IF(H369="","",IF(I369="já",H369-Stillingar!$B$3,H369))</f>
        <v/>
      </c>
      <c r="N369" s="10"/>
      <c r="P369" s="10"/>
      <c r="S369" s="10"/>
      <c r="U369" s="11"/>
    </row>
    <row r="370" spans="8:21" x14ac:dyDescent="0.2">
      <c r="H370" s="7"/>
      <c r="I370" s="8" t="str">
        <f>IF(H370="","",IF(AND(OR(K370="rafmagn",K370="vetni"),H370&lt;Stillingar!$B$2),"já","nei"))</f>
        <v/>
      </c>
      <c r="J370" s="9" t="str">
        <f>IF(H370="","",IF(I370="já",H370-Stillingar!$B$3,H370))</f>
        <v/>
      </c>
      <c r="N370" s="10"/>
      <c r="P370" s="10"/>
      <c r="S370" s="10"/>
      <c r="U370" s="11"/>
    </row>
    <row r="371" spans="8:21" x14ac:dyDescent="0.2">
      <c r="H371" s="7"/>
      <c r="I371" s="8" t="str">
        <f>IF(H371="","",IF(AND(OR(K371="rafmagn",K371="vetni"),H371&lt;Stillingar!$B$2),"já","nei"))</f>
        <v/>
      </c>
      <c r="J371" s="9" t="str">
        <f>IF(H371="","",IF(I371="já",H371-Stillingar!$B$3,H371))</f>
        <v/>
      </c>
      <c r="N371" s="10"/>
      <c r="P371" s="10"/>
      <c r="S371" s="10"/>
      <c r="U371" s="11"/>
    </row>
    <row r="372" spans="8:21" x14ac:dyDescent="0.2">
      <c r="H372" s="7"/>
      <c r="I372" s="8" t="str">
        <f>IF(H372="","",IF(AND(OR(K372="rafmagn",K372="vetni"),H372&lt;Stillingar!$B$2),"já","nei"))</f>
        <v/>
      </c>
      <c r="J372" s="9" t="str">
        <f>IF(H372="","",IF(I372="já",H372-Stillingar!$B$3,H372))</f>
        <v/>
      </c>
      <c r="N372" s="10"/>
      <c r="P372" s="10"/>
      <c r="S372" s="10"/>
      <c r="U372" s="11"/>
    </row>
    <row r="373" spans="8:21" x14ac:dyDescent="0.2">
      <c r="H373" s="7"/>
      <c r="I373" s="8" t="str">
        <f>IF(H373="","",IF(AND(OR(K373="rafmagn",K373="vetni"),H373&lt;Stillingar!$B$2),"já","nei"))</f>
        <v/>
      </c>
      <c r="J373" s="9" t="str">
        <f>IF(H373="","",IF(I373="já",H373-Stillingar!$B$3,H373))</f>
        <v/>
      </c>
      <c r="N373" s="10"/>
      <c r="P373" s="10"/>
      <c r="S373" s="10"/>
      <c r="U373" s="11"/>
    </row>
    <row r="374" spans="8:21" x14ac:dyDescent="0.2">
      <c r="H374" s="7"/>
      <c r="I374" s="8" t="str">
        <f>IF(H374="","",IF(AND(OR(K374="rafmagn",K374="vetni"),H374&lt;Stillingar!$B$2),"já","nei"))</f>
        <v/>
      </c>
      <c r="J374" s="9" t="str">
        <f>IF(H374="","",IF(I374="já",H374-Stillingar!$B$3,H374))</f>
        <v/>
      </c>
      <c r="N374" s="10"/>
      <c r="P374" s="10"/>
      <c r="S374" s="10"/>
      <c r="U374" s="11"/>
    </row>
    <row r="375" spans="8:21" x14ac:dyDescent="0.2">
      <c r="H375" s="7"/>
      <c r="I375" s="8" t="str">
        <f>IF(H375="","",IF(AND(OR(K375="rafmagn",K375="vetni"),H375&lt;Stillingar!$B$2),"já","nei"))</f>
        <v/>
      </c>
      <c r="J375" s="9" t="str">
        <f>IF(H375="","",IF(I375="já",H375-Stillingar!$B$3,H375))</f>
        <v/>
      </c>
      <c r="N375" s="10"/>
      <c r="P375" s="10"/>
      <c r="S375" s="10"/>
      <c r="U375" s="11"/>
    </row>
    <row r="376" spans="8:21" x14ac:dyDescent="0.2">
      <c r="H376" s="7"/>
      <c r="I376" s="8" t="str">
        <f>IF(H376="","",IF(AND(OR(K376="rafmagn",K376="vetni"),H376&lt;Stillingar!$B$2),"já","nei"))</f>
        <v/>
      </c>
      <c r="J376" s="9" t="str">
        <f>IF(H376="","",IF(I376="já",H376-Stillingar!$B$3,H376))</f>
        <v/>
      </c>
      <c r="N376" s="10"/>
      <c r="P376" s="10"/>
      <c r="S376" s="10"/>
      <c r="U376" s="11"/>
    </row>
    <row r="377" spans="8:21" x14ac:dyDescent="0.2">
      <c r="H377" s="7"/>
      <c r="I377" s="8" t="str">
        <f>IF(H377="","",IF(AND(OR(K377="rafmagn",K377="vetni"),H377&lt;Stillingar!$B$2),"já","nei"))</f>
        <v/>
      </c>
      <c r="J377" s="9" t="str">
        <f>IF(H377="","",IF(I377="já",H377-Stillingar!$B$3,H377))</f>
        <v/>
      </c>
      <c r="N377" s="10"/>
      <c r="P377" s="10"/>
      <c r="S377" s="10"/>
      <c r="U377" s="11"/>
    </row>
    <row r="378" spans="8:21" x14ac:dyDescent="0.2">
      <c r="H378" s="7"/>
      <c r="I378" s="8" t="str">
        <f>IF(H378="","",IF(AND(OR(K378="rafmagn",K378="vetni"),H378&lt;Stillingar!$B$2),"já","nei"))</f>
        <v/>
      </c>
      <c r="J378" s="9" t="str">
        <f>IF(H378="","",IF(I378="já",H378-Stillingar!$B$3,H378))</f>
        <v/>
      </c>
      <c r="N378" s="10"/>
      <c r="P378" s="10"/>
      <c r="S378" s="10"/>
      <c r="U378" s="11"/>
    </row>
    <row r="379" spans="8:21" x14ac:dyDescent="0.2">
      <c r="H379" s="7"/>
      <c r="I379" s="8" t="str">
        <f>IF(H379="","",IF(AND(OR(K379="rafmagn",K379="vetni"),H379&lt;Stillingar!$B$2),"já","nei"))</f>
        <v/>
      </c>
      <c r="J379" s="9" t="str">
        <f>IF(H379="","",IF(I379="já",H379-Stillingar!$B$3,H379))</f>
        <v/>
      </c>
      <c r="N379" s="10"/>
      <c r="P379" s="10"/>
      <c r="S379" s="10"/>
      <c r="U379" s="11"/>
    </row>
    <row r="380" spans="8:21" x14ac:dyDescent="0.2">
      <c r="H380" s="7"/>
      <c r="I380" s="8" t="str">
        <f>IF(H380="","",IF(AND(OR(K380="rafmagn",K380="vetni"),H380&lt;Stillingar!$B$2),"já","nei"))</f>
        <v/>
      </c>
      <c r="J380" s="9" t="str">
        <f>IF(H380="","",IF(I380="já",H380-Stillingar!$B$3,H380))</f>
        <v/>
      </c>
      <c r="N380" s="10"/>
      <c r="P380" s="10"/>
      <c r="S380" s="10"/>
      <c r="U380" s="11"/>
    </row>
    <row r="381" spans="8:21" x14ac:dyDescent="0.2">
      <c r="H381" s="7"/>
      <c r="I381" s="8" t="str">
        <f>IF(H381="","",IF(AND(OR(K381="rafmagn",K381="vetni"),H381&lt;Stillingar!$B$2),"já","nei"))</f>
        <v/>
      </c>
      <c r="J381" s="9" t="str">
        <f>IF(H381="","",IF(I381="já",H381-Stillingar!$B$3,H381))</f>
        <v/>
      </c>
      <c r="N381" s="10"/>
      <c r="P381" s="10"/>
      <c r="S381" s="10"/>
      <c r="U381" s="11"/>
    </row>
    <row r="382" spans="8:21" x14ac:dyDescent="0.2">
      <c r="H382" s="7"/>
      <c r="I382" s="8" t="str">
        <f>IF(H382="","",IF(AND(OR(K382="rafmagn",K382="vetni"),H382&lt;Stillingar!$B$2),"já","nei"))</f>
        <v/>
      </c>
      <c r="J382" s="9" t="str">
        <f>IF(H382="","",IF(I382="já",H382-Stillingar!$B$3,H382))</f>
        <v/>
      </c>
      <c r="N382" s="10"/>
      <c r="P382" s="10"/>
      <c r="S382" s="10"/>
      <c r="U382" s="11"/>
    </row>
    <row r="383" spans="8:21" x14ac:dyDescent="0.2">
      <c r="H383" s="7"/>
      <c r="I383" s="8" t="str">
        <f>IF(H383="","",IF(AND(OR(K383="rafmagn",K383="vetni"),H383&lt;Stillingar!$B$2),"já","nei"))</f>
        <v/>
      </c>
      <c r="J383" s="9" t="str">
        <f>IF(H383="","",IF(I383="já",H383-Stillingar!$B$3,H383))</f>
        <v/>
      </c>
      <c r="N383" s="10"/>
      <c r="P383" s="10"/>
      <c r="S383" s="10"/>
      <c r="U383" s="11"/>
    </row>
    <row r="384" spans="8:21" x14ac:dyDescent="0.2">
      <c r="H384" s="7"/>
      <c r="I384" s="8" t="str">
        <f>IF(H384="","",IF(AND(OR(K384="rafmagn",K384="vetni"),H384&lt;Stillingar!$B$2),"já","nei"))</f>
        <v/>
      </c>
      <c r="J384" s="9" t="str">
        <f>IF(H384="","",IF(I384="já",H384-Stillingar!$B$3,H384))</f>
        <v/>
      </c>
      <c r="N384" s="10"/>
      <c r="P384" s="10"/>
      <c r="S384" s="10"/>
      <c r="U384" s="11"/>
    </row>
    <row r="385" spans="8:21" x14ac:dyDescent="0.2">
      <c r="H385" s="7"/>
      <c r="I385" s="8" t="str">
        <f>IF(H385="","",IF(AND(OR(K385="rafmagn",K385="vetni"),H385&lt;Stillingar!$B$2),"já","nei"))</f>
        <v/>
      </c>
      <c r="J385" s="9" t="str">
        <f>IF(H385="","",IF(I385="já",H385-Stillingar!$B$3,H385))</f>
        <v/>
      </c>
      <c r="N385" s="10"/>
      <c r="P385" s="10"/>
      <c r="S385" s="10"/>
      <c r="U385" s="11"/>
    </row>
    <row r="386" spans="8:21" x14ac:dyDescent="0.2">
      <c r="H386" s="7"/>
      <c r="I386" s="8" t="str">
        <f>IF(H386="","",IF(AND(OR(K386="rafmagn",K386="vetni"),H386&lt;Stillingar!$B$2),"já","nei"))</f>
        <v/>
      </c>
      <c r="J386" s="9" t="str">
        <f>IF(H386="","",IF(I386="já",H386-Stillingar!$B$3,H386))</f>
        <v/>
      </c>
      <c r="N386" s="10"/>
      <c r="P386" s="10"/>
      <c r="S386" s="10"/>
      <c r="U386" s="11"/>
    </row>
    <row r="387" spans="8:21" x14ac:dyDescent="0.2">
      <c r="H387" s="7"/>
      <c r="I387" s="8" t="str">
        <f>IF(H387="","",IF(AND(OR(K387="rafmagn",K387="vetni"),H387&lt;Stillingar!$B$2),"já","nei"))</f>
        <v/>
      </c>
      <c r="J387" s="9" t="str">
        <f>IF(H387="","",IF(I387="já",H387-Stillingar!$B$3,H387))</f>
        <v/>
      </c>
      <c r="N387" s="10"/>
      <c r="P387" s="10"/>
      <c r="S387" s="10"/>
      <c r="U387" s="11"/>
    </row>
    <row r="388" spans="8:21" x14ac:dyDescent="0.2">
      <c r="H388" s="7"/>
      <c r="I388" s="8" t="str">
        <f>IF(H388="","",IF(AND(OR(K388="rafmagn",K388="vetni"),H388&lt;Stillingar!$B$2),"já","nei"))</f>
        <v/>
      </c>
      <c r="J388" s="9" t="str">
        <f>IF(H388="","",IF(I388="já",H388-Stillingar!$B$3,H388))</f>
        <v/>
      </c>
      <c r="N388" s="10"/>
      <c r="P388" s="10"/>
      <c r="S388" s="10"/>
      <c r="U388" s="11"/>
    </row>
    <row r="389" spans="8:21" x14ac:dyDescent="0.2">
      <c r="H389" s="7"/>
      <c r="I389" s="8" t="str">
        <f>IF(H389="","",IF(AND(OR(K389="rafmagn",K389="vetni"),H389&lt;Stillingar!$B$2),"já","nei"))</f>
        <v/>
      </c>
      <c r="J389" s="9" t="str">
        <f>IF(H389="","",IF(I389="já",H389-Stillingar!$B$3,H389))</f>
        <v/>
      </c>
      <c r="N389" s="10"/>
      <c r="P389" s="10"/>
      <c r="S389" s="10"/>
      <c r="U389" s="11"/>
    </row>
    <row r="390" spans="8:21" x14ac:dyDescent="0.2">
      <c r="H390" s="7"/>
      <c r="I390" s="8" t="str">
        <f>IF(H390="","",IF(AND(OR(K390="rafmagn",K390="vetni"),H390&lt;Stillingar!$B$2),"já","nei"))</f>
        <v/>
      </c>
      <c r="J390" s="9" t="str">
        <f>IF(H390="","",IF(I390="já",H390-Stillingar!$B$3,H390))</f>
        <v/>
      </c>
      <c r="N390" s="10"/>
      <c r="P390" s="10"/>
      <c r="S390" s="10"/>
      <c r="U390" s="11"/>
    </row>
    <row r="391" spans="8:21" x14ac:dyDescent="0.2">
      <c r="H391" s="7"/>
      <c r="I391" s="8" t="str">
        <f>IF(H391="","",IF(AND(OR(K391="rafmagn",K391="vetni"),H391&lt;Stillingar!$B$2),"já","nei"))</f>
        <v/>
      </c>
      <c r="J391" s="9" t="str">
        <f>IF(H391="","",IF(I391="já",H391-Stillingar!$B$3,H391))</f>
        <v/>
      </c>
      <c r="N391" s="10"/>
      <c r="P391" s="10"/>
      <c r="S391" s="10"/>
      <c r="U391" s="11"/>
    </row>
    <row r="392" spans="8:21" x14ac:dyDescent="0.2">
      <c r="H392" s="7"/>
      <c r="I392" s="8" t="str">
        <f>IF(H392="","",IF(AND(OR(K392="rafmagn",K392="vetni"),H392&lt;Stillingar!$B$2),"já","nei"))</f>
        <v/>
      </c>
      <c r="J392" s="9" t="str">
        <f>IF(H392="","",IF(I392="já",H392-Stillingar!$B$3,H392))</f>
        <v/>
      </c>
      <c r="N392" s="10"/>
      <c r="P392" s="10"/>
      <c r="S392" s="10"/>
      <c r="U392" s="11"/>
    </row>
    <row r="393" spans="8:21" x14ac:dyDescent="0.2">
      <c r="H393" s="7"/>
      <c r="I393" s="8" t="str">
        <f>IF(H393="","",IF(AND(OR(K393="rafmagn",K393="vetni"),H393&lt;Stillingar!$B$2),"já","nei"))</f>
        <v/>
      </c>
      <c r="J393" s="9" t="str">
        <f>IF(H393="","",IF(I393="já",H393-Stillingar!$B$3,H393))</f>
        <v/>
      </c>
      <c r="N393" s="10"/>
      <c r="P393" s="10"/>
      <c r="S393" s="10"/>
      <c r="U393" s="11"/>
    </row>
    <row r="394" spans="8:21" x14ac:dyDescent="0.2">
      <c r="H394" s="7"/>
      <c r="I394" s="8" t="str">
        <f>IF(H394="","",IF(AND(OR(K394="rafmagn",K394="vetni"),H394&lt;Stillingar!$B$2),"já","nei"))</f>
        <v/>
      </c>
      <c r="J394" s="9" t="str">
        <f>IF(H394="","",IF(I394="já",H394-Stillingar!$B$3,H394))</f>
        <v/>
      </c>
      <c r="N394" s="10"/>
      <c r="P394" s="10"/>
      <c r="S394" s="10"/>
      <c r="U394" s="11"/>
    </row>
    <row r="395" spans="8:21" x14ac:dyDescent="0.2">
      <c r="H395" s="7"/>
      <c r="I395" s="8" t="str">
        <f>IF(H395="","",IF(AND(OR(K395="rafmagn",K395="vetni"),H395&lt;Stillingar!$B$2),"já","nei"))</f>
        <v/>
      </c>
      <c r="J395" s="9" t="str">
        <f>IF(H395="","",IF(I395="já",H395-Stillingar!$B$3,H395))</f>
        <v/>
      </c>
      <c r="N395" s="10"/>
      <c r="P395" s="10"/>
      <c r="S395" s="10"/>
      <c r="U395" s="11"/>
    </row>
    <row r="396" spans="8:21" x14ac:dyDescent="0.2">
      <c r="H396" s="7"/>
      <c r="I396" s="8" t="str">
        <f>IF(H396="","",IF(AND(OR(K396="rafmagn",K396="vetni"),H396&lt;Stillingar!$B$2),"já","nei"))</f>
        <v/>
      </c>
      <c r="J396" s="9" t="str">
        <f>IF(H396="","",IF(I396="já",H396-Stillingar!$B$3,H396))</f>
        <v/>
      </c>
      <c r="N396" s="10"/>
      <c r="P396" s="10"/>
      <c r="S396" s="10"/>
      <c r="U396" s="11"/>
    </row>
    <row r="397" spans="8:21" x14ac:dyDescent="0.2">
      <c r="H397" s="7"/>
      <c r="I397" s="8" t="str">
        <f>IF(H397="","",IF(AND(OR(K397="rafmagn",K397="vetni"),H397&lt;Stillingar!$B$2),"já","nei"))</f>
        <v/>
      </c>
      <c r="J397" s="9" t="str">
        <f>IF(H397="","",IF(I397="já",H397-Stillingar!$B$3,H397))</f>
        <v/>
      </c>
      <c r="N397" s="10"/>
      <c r="P397" s="10"/>
      <c r="S397" s="10"/>
      <c r="U397" s="11"/>
    </row>
    <row r="398" spans="8:21" x14ac:dyDescent="0.2">
      <c r="H398" s="7"/>
      <c r="I398" s="8" t="str">
        <f>IF(H398="","",IF(AND(OR(K398="rafmagn",K398="vetni"),H398&lt;Stillingar!$B$2),"já","nei"))</f>
        <v/>
      </c>
      <c r="J398" s="9" t="str">
        <f>IF(H398="","",IF(I398="já",H398-Stillingar!$B$3,H398))</f>
        <v/>
      </c>
      <c r="N398" s="10"/>
      <c r="P398" s="10"/>
      <c r="S398" s="10"/>
      <c r="U398" s="11"/>
    </row>
    <row r="399" spans="8:21" x14ac:dyDescent="0.2">
      <c r="H399" s="7"/>
      <c r="I399" s="8" t="str">
        <f>IF(H399="","",IF(AND(OR(K399="rafmagn",K399="vetni"),H399&lt;Stillingar!$B$2),"já","nei"))</f>
        <v/>
      </c>
      <c r="J399" s="9" t="str">
        <f>IF(H399="","",IF(I399="já",H399-Stillingar!$B$3,H399))</f>
        <v/>
      </c>
      <c r="N399" s="10"/>
      <c r="P399" s="10"/>
      <c r="S399" s="10"/>
      <c r="U399" s="11"/>
    </row>
    <row r="400" spans="8:21" x14ac:dyDescent="0.2">
      <c r="H400" s="7"/>
      <c r="I400" s="8" t="str">
        <f>IF(H400="","",IF(AND(OR(K400="rafmagn",K400="vetni"),H400&lt;Stillingar!$B$2),"já","nei"))</f>
        <v/>
      </c>
      <c r="J400" s="9" t="str">
        <f>IF(H400="","",IF(I400="já",H400-Stillingar!$B$3,H400))</f>
        <v/>
      </c>
      <c r="N400" s="10"/>
      <c r="P400" s="10"/>
      <c r="S400" s="10"/>
      <c r="U400" s="11"/>
    </row>
    <row r="401" spans="8:21" x14ac:dyDescent="0.2">
      <c r="H401" s="7"/>
      <c r="I401" s="8" t="str">
        <f>IF(H401="","",IF(AND(OR(K401="rafmagn",K401="vetni"),H401&lt;Stillingar!$B$2),"já","nei"))</f>
        <v/>
      </c>
      <c r="J401" s="9" t="str">
        <f>IF(H401="","",IF(I401="já",H401-Stillingar!$B$3,H401))</f>
        <v/>
      </c>
      <c r="N401" s="10"/>
      <c r="P401" s="10"/>
      <c r="S401" s="10"/>
      <c r="U401" s="11"/>
    </row>
    <row r="402" spans="8:21" x14ac:dyDescent="0.2">
      <c r="H402" s="7"/>
      <c r="I402" s="8" t="str">
        <f>IF(H402="","",IF(AND(OR(K402="rafmagn",K402="vetni"),H402&lt;Stillingar!$B$2),"já","nei"))</f>
        <v/>
      </c>
      <c r="J402" s="9" t="str">
        <f>IF(H402="","",IF(I402="já",H402-Stillingar!$B$3,H402))</f>
        <v/>
      </c>
      <c r="N402" s="10"/>
      <c r="P402" s="10"/>
      <c r="S402" s="10"/>
      <c r="U402" s="11"/>
    </row>
    <row r="403" spans="8:21" x14ac:dyDescent="0.2">
      <c r="H403" s="7"/>
      <c r="I403" s="8" t="str">
        <f>IF(H403="","",IF(AND(OR(K403="rafmagn",K403="vetni"),H403&lt;Stillingar!$B$2),"já","nei"))</f>
        <v/>
      </c>
      <c r="J403" s="9" t="str">
        <f>IF(H403="","",IF(I403="já",H403-Stillingar!$B$3,H403))</f>
        <v/>
      </c>
      <c r="N403" s="10"/>
      <c r="P403" s="10"/>
      <c r="S403" s="10"/>
      <c r="U403" s="11"/>
    </row>
    <row r="404" spans="8:21" x14ac:dyDescent="0.2">
      <c r="H404" s="7"/>
      <c r="I404" s="8" t="str">
        <f>IF(H404="","",IF(AND(OR(K404="rafmagn",K404="vetni"),H404&lt;Stillingar!$B$2),"já","nei"))</f>
        <v/>
      </c>
      <c r="J404" s="9" t="str">
        <f>IF(H404="","",IF(I404="já",H404-Stillingar!$B$3,H404))</f>
        <v/>
      </c>
      <c r="N404" s="10"/>
      <c r="P404" s="10"/>
      <c r="S404" s="10"/>
      <c r="U404" s="11"/>
    </row>
    <row r="405" spans="8:21" x14ac:dyDescent="0.2">
      <c r="H405" s="7"/>
      <c r="I405" s="8" t="str">
        <f>IF(H405="","",IF(AND(OR(K405="rafmagn",K405="vetni"),H405&lt;Stillingar!$B$2),"já","nei"))</f>
        <v/>
      </c>
      <c r="J405" s="9" t="str">
        <f>IF(H405="","",IF(I405="já",H405-Stillingar!$B$3,H405))</f>
        <v/>
      </c>
      <c r="N405" s="10"/>
      <c r="P405" s="10"/>
      <c r="S405" s="10"/>
      <c r="U405" s="11"/>
    </row>
    <row r="406" spans="8:21" x14ac:dyDescent="0.2">
      <c r="H406" s="7"/>
      <c r="I406" s="8" t="str">
        <f>IF(H406="","",IF(AND(OR(K406="rafmagn",K406="vetni"),H406&lt;Stillingar!$B$2),"já","nei"))</f>
        <v/>
      </c>
      <c r="J406" s="9" t="str">
        <f>IF(H406="","",IF(I406="já",H406-Stillingar!$B$3,H406))</f>
        <v/>
      </c>
      <c r="N406" s="10"/>
      <c r="P406" s="10"/>
      <c r="S406" s="10"/>
      <c r="U406" s="11"/>
    </row>
    <row r="407" spans="8:21" x14ac:dyDescent="0.2">
      <c r="H407" s="7"/>
      <c r="I407" s="8" t="str">
        <f>IF(H407="","",IF(AND(OR(K407="rafmagn",K407="vetni"),H407&lt;Stillingar!$B$2),"já","nei"))</f>
        <v/>
      </c>
      <c r="J407" s="9" t="str">
        <f>IF(H407="","",IF(I407="já",H407-Stillingar!$B$3,H407))</f>
        <v/>
      </c>
      <c r="N407" s="10"/>
      <c r="P407" s="10"/>
      <c r="S407" s="10"/>
      <c r="U407" s="11"/>
    </row>
    <row r="408" spans="8:21" x14ac:dyDescent="0.2">
      <c r="H408" s="7"/>
      <c r="I408" s="8" t="str">
        <f>IF(H408="","",IF(AND(OR(K408="rafmagn",K408="vetni"),H408&lt;Stillingar!$B$2),"já","nei"))</f>
        <v/>
      </c>
      <c r="J408" s="9" t="str">
        <f>IF(H408="","",IF(I408="já",H408-Stillingar!$B$3,H408))</f>
        <v/>
      </c>
      <c r="N408" s="10"/>
      <c r="P408" s="10"/>
      <c r="S408" s="10"/>
      <c r="U408" s="11"/>
    </row>
    <row r="409" spans="8:21" x14ac:dyDescent="0.2">
      <c r="H409" s="7"/>
      <c r="I409" s="8" t="str">
        <f>IF(H409="","",IF(AND(OR(K409="rafmagn",K409="vetni"),H409&lt;Stillingar!$B$2),"já","nei"))</f>
        <v/>
      </c>
      <c r="J409" s="9" t="str">
        <f>IF(H409="","",IF(I409="já",H409-Stillingar!$B$3,H409))</f>
        <v/>
      </c>
      <c r="N409" s="10"/>
      <c r="P409" s="10"/>
      <c r="S409" s="10"/>
      <c r="U409" s="11"/>
    </row>
    <row r="410" spans="8:21" x14ac:dyDescent="0.2">
      <c r="H410" s="7"/>
      <c r="I410" s="8" t="str">
        <f>IF(H410="","",IF(AND(OR(K410="rafmagn",K410="vetni"),H410&lt;Stillingar!$B$2),"já","nei"))</f>
        <v/>
      </c>
      <c r="J410" s="9" t="str">
        <f>IF(H410="","",IF(I410="já",H410-Stillingar!$B$3,H410))</f>
        <v/>
      </c>
      <c r="N410" s="10"/>
      <c r="P410" s="10"/>
      <c r="S410" s="10"/>
      <c r="U410" s="11"/>
    </row>
    <row r="411" spans="8:21" x14ac:dyDescent="0.2">
      <c r="H411" s="7"/>
      <c r="I411" s="8" t="str">
        <f>IF(H411="","",IF(AND(OR(K411="rafmagn",K411="vetni"),H411&lt;Stillingar!$B$2),"já","nei"))</f>
        <v/>
      </c>
      <c r="J411" s="9" t="str">
        <f>IF(H411="","",IF(I411="já",H411-Stillingar!$B$3,H411))</f>
        <v/>
      </c>
      <c r="N411" s="10"/>
      <c r="P411" s="10"/>
      <c r="S411" s="10"/>
      <c r="U411" s="11"/>
    </row>
    <row r="412" spans="8:21" x14ac:dyDescent="0.2">
      <c r="H412" s="7"/>
      <c r="I412" s="8" t="str">
        <f>IF(H412="","",IF(AND(OR(K412="rafmagn",K412="vetni"),H412&lt;Stillingar!$B$2),"já","nei"))</f>
        <v/>
      </c>
      <c r="J412" s="9" t="str">
        <f>IF(H412="","",IF(I412="já",H412-Stillingar!$B$3,H412))</f>
        <v/>
      </c>
      <c r="N412" s="10"/>
      <c r="P412" s="10"/>
      <c r="S412" s="10"/>
      <c r="U412" s="11"/>
    </row>
    <row r="413" spans="8:21" x14ac:dyDescent="0.2">
      <c r="H413" s="7"/>
      <c r="I413" s="8" t="str">
        <f>IF(H413="","",IF(AND(OR(K413="rafmagn",K413="vetni"),H413&lt;Stillingar!$B$2),"já","nei"))</f>
        <v/>
      </c>
      <c r="J413" s="9" t="str">
        <f>IF(H413="","",IF(I413="já",H413-Stillingar!$B$3,H413))</f>
        <v/>
      </c>
      <c r="N413" s="10"/>
      <c r="P413" s="10"/>
      <c r="S413" s="10"/>
      <c r="U413" s="11"/>
    </row>
    <row r="414" spans="8:21" x14ac:dyDescent="0.2">
      <c r="H414" s="7"/>
      <c r="I414" s="8" t="str">
        <f>IF(H414="","",IF(AND(OR(K414="rafmagn",K414="vetni"),H414&lt;Stillingar!$B$2),"já","nei"))</f>
        <v/>
      </c>
      <c r="J414" s="9" t="str">
        <f>IF(H414="","",IF(I414="já",H414-Stillingar!$B$3,H414))</f>
        <v/>
      </c>
      <c r="N414" s="10"/>
      <c r="P414" s="10"/>
      <c r="S414" s="10"/>
      <c r="U414" s="11"/>
    </row>
    <row r="415" spans="8:21" x14ac:dyDescent="0.2">
      <c r="H415" s="7"/>
      <c r="I415" s="8" t="str">
        <f>IF(H415="","",IF(AND(OR(K415="rafmagn",K415="vetni"),H415&lt;Stillingar!$B$2),"já","nei"))</f>
        <v/>
      </c>
      <c r="J415" s="9" t="str">
        <f>IF(H415="","",IF(I415="já",H415-Stillingar!$B$3,H415))</f>
        <v/>
      </c>
      <c r="N415" s="10"/>
      <c r="P415" s="10"/>
      <c r="S415" s="10"/>
      <c r="U415" s="11"/>
    </row>
    <row r="416" spans="8:21" x14ac:dyDescent="0.2">
      <c r="H416" s="7"/>
      <c r="I416" s="8" t="str">
        <f>IF(H416="","",IF(AND(OR(K416="rafmagn",K416="vetni"),H416&lt;Stillingar!$B$2),"já","nei"))</f>
        <v/>
      </c>
      <c r="J416" s="9" t="str">
        <f>IF(H416="","",IF(I416="já",H416-Stillingar!$B$3,H416))</f>
        <v/>
      </c>
      <c r="N416" s="10"/>
      <c r="P416" s="10"/>
      <c r="S416" s="10"/>
      <c r="U416" s="11"/>
    </row>
    <row r="417" spans="8:21" x14ac:dyDescent="0.2">
      <c r="H417" s="7"/>
      <c r="I417" s="8" t="str">
        <f>IF(H417="","",IF(AND(OR(K417="rafmagn",K417="vetni"),H417&lt;Stillingar!$B$2),"já","nei"))</f>
        <v/>
      </c>
      <c r="J417" s="9" t="str">
        <f>IF(H417="","",IF(I417="já",H417-Stillingar!$B$3,H417))</f>
        <v/>
      </c>
      <c r="N417" s="10"/>
      <c r="P417" s="10"/>
      <c r="S417" s="10"/>
      <c r="U417" s="11"/>
    </row>
    <row r="418" spans="8:21" x14ac:dyDescent="0.2">
      <c r="H418" s="7"/>
      <c r="I418" s="8" t="str">
        <f>IF(H418="","",IF(AND(OR(K418="rafmagn",K418="vetni"),H418&lt;Stillingar!$B$2),"já","nei"))</f>
        <v/>
      </c>
      <c r="J418" s="9" t="str">
        <f>IF(H418="","",IF(I418="já",H418-Stillingar!$B$3,H418))</f>
        <v/>
      </c>
      <c r="N418" s="10"/>
      <c r="P418" s="10"/>
      <c r="S418" s="10"/>
      <c r="U418" s="11"/>
    </row>
    <row r="419" spans="8:21" x14ac:dyDescent="0.2">
      <c r="H419" s="7"/>
      <c r="I419" s="8" t="str">
        <f>IF(H419="","",IF(AND(OR(K419="rafmagn",K419="vetni"),H419&lt;Stillingar!$B$2),"já","nei"))</f>
        <v/>
      </c>
      <c r="J419" s="9" t="str">
        <f>IF(H419="","",IF(I419="já",H419-Stillingar!$B$3,H419))</f>
        <v/>
      </c>
      <c r="N419" s="10"/>
      <c r="P419" s="10"/>
      <c r="S419" s="10"/>
      <c r="U419" s="11"/>
    </row>
    <row r="420" spans="8:21" x14ac:dyDescent="0.2">
      <c r="H420" s="7"/>
      <c r="I420" s="8" t="str">
        <f>IF(H420="","",IF(AND(OR(K420="rafmagn",K420="vetni"),H420&lt;Stillingar!$B$2),"já","nei"))</f>
        <v/>
      </c>
      <c r="J420" s="9" t="str">
        <f>IF(H420="","",IF(I420="já",H420-Stillingar!$B$3,H420))</f>
        <v/>
      </c>
      <c r="N420" s="10"/>
      <c r="P420" s="10"/>
      <c r="S420" s="10"/>
      <c r="U420" s="11"/>
    </row>
    <row r="421" spans="8:21" x14ac:dyDescent="0.2">
      <c r="H421" s="7"/>
      <c r="I421" s="8" t="str">
        <f>IF(H421="","",IF(AND(OR(K421="rafmagn",K421="vetni"),H421&lt;Stillingar!$B$2),"já","nei"))</f>
        <v/>
      </c>
      <c r="J421" s="9" t="str">
        <f>IF(H421="","",IF(I421="já",H421-Stillingar!$B$3,H421))</f>
        <v/>
      </c>
      <c r="N421" s="10"/>
      <c r="P421" s="10"/>
      <c r="S421" s="10"/>
      <c r="U421" s="11"/>
    </row>
    <row r="422" spans="8:21" x14ac:dyDescent="0.2">
      <c r="H422" s="7"/>
      <c r="I422" s="8" t="str">
        <f>IF(H422="","",IF(AND(OR(K422="rafmagn",K422="vetni"),H422&lt;Stillingar!$B$2),"já","nei"))</f>
        <v/>
      </c>
      <c r="J422" s="9" t="str">
        <f>IF(H422="","",IF(I422="já",H422-Stillingar!$B$3,H422))</f>
        <v/>
      </c>
      <c r="N422" s="10"/>
      <c r="P422" s="10"/>
      <c r="S422" s="10"/>
      <c r="U422" s="11"/>
    </row>
    <row r="423" spans="8:21" x14ac:dyDescent="0.2">
      <c r="H423" s="7"/>
      <c r="I423" s="8" t="str">
        <f>IF(H423="","",IF(AND(OR(K423="rafmagn",K423="vetni"),H423&lt;Stillingar!$B$2),"já","nei"))</f>
        <v/>
      </c>
      <c r="J423" s="9" t="str">
        <f>IF(H423="","",IF(I423="já",H423-Stillingar!$B$3,H423))</f>
        <v/>
      </c>
      <c r="N423" s="10"/>
      <c r="P423" s="10"/>
      <c r="S423" s="10"/>
      <c r="U423" s="11"/>
    </row>
    <row r="424" spans="8:21" x14ac:dyDescent="0.2">
      <c r="H424" s="7"/>
      <c r="I424" s="8" t="str">
        <f>IF(H424="","",IF(AND(OR(K424="rafmagn",K424="vetni"),H424&lt;Stillingar!$B$2),"já","nei"))</f>
        <v/>
      </c>
      <c r="J424" s="9" t="str">
        <f>IF(H424="","",IF(I424="já",H424-Stillingar!$B$3,H424))</f>
        <v/>
      </c>
      <c r="N424" s="10"/>
      <c r="P424" s="10"/>
      <c r="S424" s="10"/>
      <c r="U424" s="11"/>
    </row>
    <row r="425" spans="8:21" x14ac:dyDescent="0.2">
      <c r="H425" s="7"/>
      <c r="I425" s="8" t="str">
        <f>IF(H425="","",IF(AND(OR(K425="rafmagn",K425="vetni"),H425&lt;Stillingar!$B$2),"já","nei"))</f>
        <v/>
      </c>
      <c r="J425" s="9" t="str">
        <f>IF(H425="","",IF(I425="já",H425-Stillingar!$B$3,H425))</f>
        <v/>
      </c>
      <c r="N425" s="10"/>
      <c r="P425" s="10"/>
      <c r="S425" s="10"/>
      <c r="U425" s="11"/>
    </row>
    <row r="426" spans="8:21" x14ac:dyDescent="0.2">
      <c r="H426" s="7"/>
      <c r="I426" s="8" t="str">
        <f>IF(H426="","",IF(AND(OR(K426="rafmagn",K426="vetni"),H426&lt;Stillingar!$B$2),"já","nei"))</f>
        <v/>
      </c>
      <c r="J426" s="9" t="str">
        <f>IF(H426="","",IF(I426="já",H426-Stillingar!$B$3,H426))</f>
        <v/>
      </c>
      <c r="N426" s="10"/>
      <c r="P426" s="10"/>
      <c r="S426" s="10"/>
      <c r="U426" s="11"/>
    </row>
    <row r="427" spans="8:21" x14ac:dyDescent="0.2">
      <c r="H427" s="7"/>
      <c r="I427" s="8" t="str">
        <f>IF(H427="","",IF(AND(OR(K427="rafmagn",K427="vetni"),H427&lt;Stillingar!$B$2),"já","nei"))</f>
        <v/>
      </c>
      <c r="J427" s="9" t="str">
        <f>IF(H427="","",IF(I427="já",H427-Stillingar!$B$3,H427))</f>
        <v/>
      </c>
      <c r="N427" s="10"/>
      <c r="P427" s="10"/>
      <c r="S427" s="10"/>
      <c r="U427" s="11"/>
    </row>
    <row r="428" spans="8:21" x14ac:dyDescent="0.2">
      <c r="H428" s="7"/>
      <c r="I428" s="8" t="str">
        <f>IF(H428="","",IF(AND(OR(K428="rafmagn",K428="vetni"),H428&lt;Stillingar!$B$2),"já","nei"))</f>
        <v/>
      </c>
      <c r="J428" s="9" t="str">
        <f>IF(H428="","",IF(I428="já",H428-Stillingar!$B$3,H428))</f>
        <v/>
      </c>
      <c r="N428" s="10"/>
      <c r="P428" s="10"/>
      <c r="S428" s="10"/>
      <c r="U428" s="11"/>
    </row>
    <row r="429" spans="8:21" x14ac:dyDescent="0.2">
      <c r="H429" s="7"/>
      <c r="I429" s="8" t="str">
        <f>IF(H429="","",IF(AND(OR(K429="rafmagn",K429="vetni"),H429&lt;Stillingar!$B$2),"já","nei"))</f>
        <v/>
      </c>
      <c r="J429" s="9" t="str">
        <f>IF(H429="","",IF(I429="já",H429-Stillingar!$B$3,H429))</f>
        <v/>
      </c>
      <c r="N429" s="10"/>
      <c r="P429" s="10"/>
      <c r="S429" s="10"/>
      <c r="U429" s="11"/>
    </row>
    <row r="430" spans="8:21" x14ac:dyDescent="0.2">
      <c r="H430" s="7"/>
      <c r="I430" s="8" t="str">
        <f>IF(H430="","",IF(AND(OR(K430="rafmagn",K430="vetni"),H430&lt;Stillingar!$B$2),"já","nei"))</f>
        <v/>
      </c>
      <c r="J430" s="9" t="str">
        <f>IF(H430="","",IF(I430="já",H430-Stillingar!$B$3,H430))</f>
        <v/>
      </c>
      <c r="N430" s="10"/>
      <c r="P430" s="10"/>
      <c r="S430" s="10"/>
      <c r="U430" s="11"/>
    </row>
    <row r="431" spans="8:21" x14ac:dyDescent="0.2">
      <c r="H431" s="7"/>
      <c r="I431" s="8" t="str">
        <f>IF(H431="","",IF(AND(OR(K431="rafmagn",K431="vetni"),H431&lt;Stillingar!$B$2),"já","nei"))</f>
        <v/>
      </c>
      <c r="J431" s="9" t="str">
        <f>IF(H431="","",IF(I431="já",H431-Stillingar!$B$3,H431))</f>
        <v/>
      </c>
      <c r="N431" s="10"/>
      <c r="P431" s="10"/>
      <c r="S431" s="10"/>
      <c r="U431" s="11"/>
    </row>
    <row r="432" spans="8:21" x14ac:dyDescent="0.2">
      <c r="H432" s="7"/>
      <c r="I432" s="8" t="str">
        <f>IF(H432="","",IF(AND(OR(K432="rafmagn",K432="vetni"),H432&lt;Stillingar!$B$2),"já","nei"))</f>
        <v/>
      </c>
      <c r="J432" s="9" t="str">
        <f>IF(H432="","",IF(I432="já",H432-Stillingar!$B$3,H432))</f>
        <v/>
      </c>
      <c r="N432" s="10"/>
      <c r="P432" s="10"/>
      <c r="S432" s="10"/>
      <c r="U432" s="11"/>
    </row>
    <row r="433" spans="8:21" x14ac:dyDescent="0.2">
      <c r="H433" s="7"/>
      <c r="I433" s="8" t="str">
        <f>IF(H433="","",IF(AND(OR(K433="rafmagn",K433="vetni"),H433&lt;Stillingar!$B$2),"já","nei"))</f>
        <v/>
      </c>
      <c r="J433" s="9" t="str">
        <f>IF(H433="","",IF(I433="já",H433-Stillingar!$B$3,H433))</f>
        <v/>
      </c>
      <c r="N433" s="10"/>
      <c r="P433" s="10"/>
      <c r="S433" s="10"/>
      <c r="U433" s="11"/>
    </row>
    <row r="434" spans="8:21" x14ac:dyDescent="0.2">
      <c r="H434" s="7"/>
      <c r="I434" s="8" t="str">
        <f>IF(H434="","",IF(AND(OR(K434="rafmagn",K434="vetni"),H434&lt;Stillingar!$B$2),"já","nei"))</f>
        <v/>
      </c>
      <c r="J434" s="9" t="str">
        <f>IF(H434="","",IF(I434="já",H434-Stillingar!$B$3,H434))</f>
        <v/>
      </c>
      <c r="N434" s="10"/>
      <c r="P434" s="10"/>
      <c r="S434" s="10"/>
      <c r="U434" s="11"/>
    </row>
    <row r="435" spans="8:21" x14ac:dyDescent="0.2">
      <c r="H435" s="7"/>
      <c r="I435" s="8" t="str">
        <f>IF(H435="","",IF(AND(OR(K435="rafmagn",K435="vetni"),H435&lt;Stillingar!$B$2),"já","nei"))</f>
        <v/>
      </c>
      <c r="J435" s="9" t="str">
        <f>IF(H435="","",IF(I435="já",H435-Stillingar!$B$3,H435))</f>
        <v/>
      </c>
      <c r="N435" s="10"/>
      <c r="P435" s="10"/>
      <c r="S435" s="10"/>
      <c r="U435" s="11"/>
    </row>
    <row r="436" spans="8:21" x14ac:dyDescent="0.2">
      <c r="H436" s="7"/>
      <c r="I436" s="8" t="str">
        <f>IF(H436="","",IF(AND(OR(K436="rafmagn",K436="vetni"),H436&lt;Stillingar!$B$2),"já","nei"))</f>
        <v/>
      </c>
      <c r="J436" s="9" t="str">
        <f>IF(H436="","",IF(I436="já",H436-Stillingar!$B$3,H436))</f>
        <v/>
      </c>
      <c r="N436" s="10"/>
      <c r="P436" s="10"/>
      <c r="S436" s="10"/>
      <c r="U436" s="11"/>
    </row>
    <row r="437" spans="8:21" x14ac:dyDescent="0.2">
      <c r="H437" s="7"/>
      <c r="I437" s="8" t="str">
        <f>IF(H437="","",IF(AND(OR(K437="rafmagn",K437="vetni"),H437&lt;Stillingar!$B$2),"já","nei"))</f>
        <v/>
      </c>
      <c r="J437" s="9" t="str">
        <f>IF(H437="","",IF(I437="já",H437-Stillingar!$B$3,H437))</f>
        <v/>
      </c>
      <c r="N437" s="10"/>
      <c r="P437" s="10"/>
      <c r="S437" s="10"/>
      <c r="U437" s="11"/>
    </row>
    <row r="438" spans="8:21" x14ac:dyDescent="0.2">
      <c r="H438" s="7"/>
      <c r="I438" s="8" t="str">
        <f>IF(H438="","",IF(AND(OR(K438="rafmagn",K438="vetni"),H438&lt;Stillingar!$B$2),"já","nei"))</f>
        <v/>
      </c>
      <c r="J438" s="9" t="str">
        <f>IF(H438="","",IF(I438="já",H438-Stillingar!$B$3,H438))</f>
        <v/>
      </c>
      <c r="N438" s="10"/>
      <c r="P438" s="10"/>
      <c r="S438" s="10"/>
      <c r="U438" s="11"/>
    </row>
    <row r="439" spans="8:21" x14ac:dyDescent="0.2">
      <c r="H439" s="7"/>
      <c r="I439" s="8" t="str">
        <f>IF(H439="","",IF(AND(OR(K439="rafmagn",K439="vetni"),H439&lt;Stillingar!$B$2),"já","nei"))</f>
        <v/>
      </c>
      <c r="J439" s="9" t="str">
        <f>IF(H439="","",IF(I439="já",H439-Stillingar!$B$3,H439))</f>
        <v/>
      </c>
      <c r="N439" s="10"/>
      <c r="P439" s="10"/>
      <c r="S439" s="10"/>
      <c r="U439" s="11"/>
    </row>
    <row r="440" spans="8:21" x14ac:dyDescent="0.2">
      <c r="H440" s="7"/>
      <c r="I440" s="8" t="str">
        <f>IF(H440="","",IF(AND(OR(K440="rafmagn",K440="vetni"),H440&lt;Stillingar!$B$2),"já","nei"))</f>
        <v/>
      </c>
      <c r="J440" s="9" t="str">
        <f>IF(H440="","",IF(I440="já",H440-Stillingar!$B$3,H440))</f>
        <v/>
      </c>
      <c r="N440" s="10"/>
      <c r="P440" s="10"/>
      <c r="S440" s="10"/>
      <c r="U440" s="11"/>
    </row>
    <row r="441" spans="8:21" x14ac:dyDescent="0.2">
      <c r="H441" s="7"/>
      <c r="I441" s="8" t="str">
        <f>IF(H441="","",IF(AND(OR(K441="rafmagn",K441="vetni"),H441&lt;Stillingar!$B$2),"já","nei"))</f>
        <v/>
      </c>
      <c r="J441" s="9" t="str">
        <f>IF(H441="","",IF(I441="já",H441-Stillingar!$B$3,H441))</f>
        <v/>
      </c>
      <c r="N441" s="10"/>
      <c r="P441" s="10"/>
      <c r="S441" s="10"/>
      <c r="U441" s="11"/>
    </row>
    <row r="442" spans="8:21" x14ac:dyDescent="0.2">
      <c r="H442" s="7"/>
      <c r="I442" s="8" t="str">
        <f>IF(H442="","",IF(AND(OR(K442="rafmagn",K442="vetni"),H442&lt;Stillingar!$B$2),"já","nei"))</f>
        <v/>
      </c>
      <c r="J442" s="9" t="str">
        <f>IF(H442="","",IF(I442="já",H442-Stillingar!$B$3,H442))</f>
        <v/>
      </c>
      <c r="N442" s="10"/>
      <c r="P442" s="10"/>
      <c r="S442" s="10"/>
      <c r="U442" s="11"/>
    </row>
    <row r="443" spans="8:21" x14ac:dyDescent="0.2">
      <c r="H443" s="7"/>
      <c r="I443" s="8" t="str">
        <f>IF(H443="","",IF(AND(OR(K443="rafmagn",K443="vetni"),H443&lt;Stillingar!$B$2),"já","nei"))</f>
        <v/>
      </c>
      <c r="J443" s="9" t="str">
        <f>IF(H443="","",IF(I443="já",H443-Stillingar!$B$3,H443))</f>
        <v/>
      </c>
      <c r="N443" s="10"/>
      <c r="P443" s="10"/>
      <c r="S443" s="10"/>
      <c r="U443" s="11"/>
    </row>
    <row r="444" spans="8:21" x14ac:dyDescent="0.2">
      <c r="H444" s="7"/>
      <c r="I444" s="8" t="str">
        <f>IF(H444="","",IF(AND(OR(K444="rafmagn",K444="vetni"),H444&lt;Stillingar!$B$2),"já","nei"))</f>
        <v/>
      </c>
      <c r="J444" s="9" t="str">
        <f>IF(H444="","",IF(I444="já",H444-Stillingar!$B$3,H444))</f>
        <v/>
      </c>
      <c r="N444" s="10"/>
      <c r="P444" s="10"/>
      <c r="S444" s="10"/>
      <c r="U444" s="11"/>
    </row>
    <row r="445" spans="8:21" x14ac:dyDescent="0.2">
      <c r="H445" s="7"/>
      <c r="I445" s="8" t="str">
        <f>IF(H445="","",IF(AND(OR(K445="rafmagn",K445="vetni"),H445&lt;Stillingar!$B$2),"já","nei"))</f>
        <v/>
      </c>
      <c r="J445" s="9" t="str">
        <f>IF(H445="","",IF(I445="já",H445-Stillingar!$B$3,H445))</f>
        <v/>
      </c>
      <c r="N445" s="10"/>
      <c r="P445" s="10"/>
      <c r="S445" s="10"/>
      <c r="U445" s="11"/>
    </row>
    <row r="446" spans="8:21" x14ac:dyDescent="0.2">
      <c r="H446" s="7"/>
      <c r="I446" s="8" t="str">
        <f>IF(H446="","",IF(AND(OR(K446="rafmagn",K446="vetni"),H446&lt;Stillingar!$B$2),"já","nei"))</f>
        <v/>
      </c>
      <c r="J446" s="9" t="str">
        <f>IF(H446="","",IF(I446="já",H446-Stillingar!$B$3,H446))</f>
        <v/>
      </c>
      <c r="N446" s="10"/>
      <c r="P446" s="10"/>
      <c r="S446" s="10"/>
      <c r="U446" s="11"/>
    </row>
    <row r="447" spans="8:21" x14ac:dyDescent="0.2">
      <c r="H447" s="7"/>
      <c r="I447" s="8" t="str">
        <f>IF(H447="","",IF(AND(OR(K447="rafmagn",K447="vetni"),H447&lt;Stillingar!$B$2),"já","nei"))</f>
        <v/>
      </c>
      <c r="J447" s="9" t="str">
        <f>IF(H447="","",IF(I447="já",H447-Stillingar!$B$3,H447))</f>
        <v/>
      </c>
      <c r="N447" s="10"/>
      <c r="P447" s="10"/>
      <c r="S447" s="10"/>
      <c r="U447" s="11"/>
    </row>
    <row r="448" spans="8:21" x14ac:dyDescent="0.2">
      <c r="H448" s="7"/>
      <c r="I448" s="8" t="str">
        <f>IF(H448="","",IF(AND(OR(K448="rafmagn",K448="vetni"),H448&lt;Stillingar!$B$2),"já","nei"))</f>
        <v/>
      </c>
      <c r="J448" s="9" t="str">
        <f>IF(H448="","",IF(I448="já",H448-Stillingar!$B$3,H448))</f>
        <v/>
      </c>
      <c r="N448" s="10"/>
      <c r="P448" s="10"/>
      <c r="S448" s="10"/>
      <c r="U448" s="11"/>
    </row>
    <row r="449" spans="8:21" x14ac:dyDescent="0.2">
      <c r="H449" s="7"/>
      <c r="I449" s="8" t="str">
        <f>IF(H449="","",IF(AND(OR(K449="rafmagn",K449="vetni"),H449&lt;Stillingar!$B$2),"já","nei"))</f>
        <v/>
      </c>
      <c r="J449" s="9" t="str">
        <f>IF(H449="","",IF(I449="já",H449-Stillingar!$B$3,H449))</f>
        <v/>
      </c>
      <c r="N449" s="10"/>
      <c r="P449" s="10"/>
      <c r="S449" s="10"/>
      <c r="U449" s="11"/>
    </row>
    <row r="450" spans="8:21" x14ac:dyDescent="0.2">
      <c r="H450" s="7"/>
      <c r="I450" s="8" t="str">
        <f>IF(H450="","",IF(AND(OR(K450="rafmagn",K450="vetni"),H450&lt;Stillingar!$B$2),"já","nei"))</f>
        <v/>
      </c>
      <c r="J450" s="9" t="str">
        <f>IF(H450="","",IF(I450="já",H450-Stillingar!$B$3,H450))</f>
        <v/>
      </c>
      <c r="N450" s="10"/>
      <c r="P450" s="10"/>
      <c r="S450" s="10"/>
      <c r="U450" s="11"/>
    </row>
    <row r="451" spans="8:21" x14ac:dyDescent="0.2">
      <c r="H451" s="7"/>
      <c r="I451" s="8" t="str">
        <f>IF(H451="","",IF(AND(OR(K451="rafmagn",K451="vetni"),H451&lt;Stillingar!$B$2),"já","nei"))</f>
        <v/>
      </c>
      <c r="J451" s="9" t="str">
        <f>IF(H451="","",IF(I451="já",H451-Stillingar!$B$3,H451))</f>
        <v/>
      </c>
      <c r="N451" s="10"/>
      <c r="P451" s="10"/>
      <c r="S451" s="10"/>
      <c r="U451" s="11"/>
    </row>
    <row r="452" spans="8:21" x14ac:dyDescent="0.2">
      <c r="H452" s="7"/>
      <c r="I452" s="8" t="str">
        <f>IF(H452="","",IF(AND(OR(K452="rafmagn",K452="vetni"),H452&lt;Stillingar!$B$2),"já","nei"))</f>
        <v/>
      </c>
      <c r="J452" s="9" t="str">
        <f>IF(H452="","",IF(I452="já",H452-Stillingar!$B$3,H452))</f>
        <v/>
      </c>
      <c r="N452" s="10"/>
      <c r="P452" s="10"/>
      <c r="S452" s="10"/>
      <c r="U452" s="11"/>
    </row>
    <row r="453" spans="8:21" x14ac:dyDescent="0.2">
      <c r="H453" s="7"/>
      <c r="I453" s="8" t="str">
        <f>IF(H453="","",IF(AND(OR(K453="rafmagn",K453="vetni"),H453&lt;Stillingar!$B$2),"já","nei"))</f>
        <v/>
      </c>
      <c r="J453" s="9" t="str">
        <f>IF(H453="","",IF(I453="já",H453-Stillingar!$B$3,H453))</f>
        <v/>
      </c>
      <c r="N453" s="10"/>
      <c r="P453" s="10"/>
      <c r="S453" s="10"/>
      <c r="U453" s="11"/>
    </row>
    <row r="454" spans="8:21" x14ac:dyDescent="0.2">
      <c r="H454" s="7"/>
      <c r="I454" s="8" t="str">
        <f>IF(H454="","",IF(AND(OR(K454="rafmagn",K454="vetni"),H454&lt;Stillingar!$B$2),"já","nei"))</f>
        <v/>
      </c>
      <c r="J454" s="9" t="str">
        <f>IF(H454="","",IF(I454="já",H454-Stillingar!$B$3,H454))</f>
        <v/>
      </c>
      <c r="N454" s="10"/>
      <c r="P454" s="10"/>
      <c r="S454" s="10"/>
      <c r="U454" s="11"/>
    </row>
    <row r="455" spans="8:21" x14ac:dyDescent="0.2">
      <c r="H455" s="7"/>
      <c r="I455" s="8" t="str">
        <f>IF(H455="","",IF(AND(OR(K455="rafmagn",K455="vetni"),H455&lt;Stillingar!$B$2),"já","nei"))</f>
        <v/>
      </c>
      <c r="J455" s="9" t="str">
        <f>IF(H455="","",IF(I455="já",H455-Stillingar!$B$3,H455))</f>
        <v/>
      </c>
      <c r="N455" s="10"/>
      <c r="P455" s="10"/>
      <c r="S455" s="10"/>
      <c r="U455" s="11"/>
    </row>
    <row r="456" spans="8:21" x14ac:dyDescent="0.2">
      <c r="H456" s="7"/>
      <c r="I456" s="8" t="str">
        <f>IF(H456="","",IF(AND(OR(K456="rafmagn",K456="vetni"),H456&lt;Stillingar!$B$2),"já","nei"))</f>
        <v/>
      </c>
      <c r="J456" s="9" t="str">
        <f>IF(H456="","",IF(I456="já",H456-Stillingar!$B$3,H456))</f>
        <v/>
      </c>
      <c r="N456" s="10"/>
      <c r="P456" s="10"/>
      <c r="S456" s="10"/>
      <c r="U456" s="11"/>
    </row>
    <row r="457" spans="8:21" x14ac:dyDescent="0.2">
      <c r="H457" s="7"/>
      <c r="I457" s="8" t="str">
        <f>IF(H457="","",IF(AND(OR(K457="rafmagn",K457="vetni"),H457&lt;Stillingar!$B$2),"já","nei"))</f>
        <v/>
      </c>
      <c r="J457" s="9" t="str">
        <f>IF(H457="","",IF(I457="já",H457-Stillingar!$B$3,H457))</f>
        <v/>
      </c>
      <c r="N457" s="10"/>
      <c r="P457" s="10"/>
      <c r="S457" s="10"/>
      <c r="U457" s="11"/>
    </row>
    <row r="458" spans="8:21" x14ac:dyDescent="0.2">
      <c r="H458" s="7"/>
      <c r="I458" s="8" t="str">
        <f>IF(H458="","",IF(AND(OR(K458="rafmagn",K458="vetni"),H458&lt;Stillingar!$B$2),"já","nei"))</f>
        <v/>
      </c>
      <c r="J458" s="9" t="str">
        <f>IF(H458="","",IF(I458="já",H458-Stillingar!$B$3,H458))</f>
        <v/>
      </c>
      <c r="N458" s="10"/>
      <c r="P458" s="10"/>
      <c r="S458" s="10"/>
      <c r="U458" s="11"/>
    </row>
    <row r="459" spans="8:21" x14ac:dyDescent="0.2">
      <c r="H459" s="7"/>
      <c r="I459" s="8" t="str">
        <f>IF(H459="","",IF(AND(OR(K459="rafmagn",K459="vetni"),H459&lt;Stillingar!$B$2),"já","nei"))</f>
        <v/>
      </c>
      <c r="J459" s="9" t="str">
        <f>IF(H459="","",IF(I459="já",H459-Stillingar!$B$3,H459))</f>
        <v/>
      </c>
      <c r="N459" s="10"/>
      <c r="P459" s="10"/>
      <c r="S459" s="10"/>
      <c r="U459" s="11"/>
    </row>
    <row r="460" spans="8:21" x14ac:dyDescent="0.2">
      <c r="H460" s="7"/>
      <c r="I460" s="8" t="str">
        <f>IF(H460="","",IF(AND(OR(K460="rafmagn",K460="vetni"),H460&lt;Stillingar!$B$2),"já","nei"))</f>
        <v/>
      </c>
      <c r="J460" s="9" t="str">
        <f>IF(H460="","",IF(I460="já",H460-Stillingar!$B$3,H460))</f>
        <v/>
      </c>
      <c r="N460" s="10"/>
      <c r="P460" s="10"/>
      <c r="S460" s="10"/>
      <c r="U460" s="11"/>
    </row>
    <row r="461" spans="8:21" x14ac:dyDescent="0.2">
      <c r="H461" s="7"/>
      <c r="I461" s="8" t="str">
        <f>IF(H461="","",IF(AND(OR(K461="rafmagn",K461="vetni"),H461&lt;Stillingar!$B$2),"já","nei"))</f>
        <v/>
      </c>
      <c r="J461" s="9" t="str">
        <f>IF(H461="","",IF(I461="já",H461-Stillingar!$B$3,H461))</f>
        <v/>
      </c>
      <c r="N461" s="10"/>
      <c r="P461" s="10"/>
      <c r="S461" s="10"/>
      <c r="U461" s="11"/>
    </row>
    <row r="462" spans="8:21" x14ac:dyDescent="0.2">
      <c r="H462" s="7"/>
      <c r="I462" s="8" t="str">
        <f>IF(H462="","",IF(AND(OR(K462="rafmagn",K462="vetni"),H462&lt;Stillingar!$B$2),"já","nei"))</f>
        <v/>
      </c>
      <c r="J462" s="9" t="str">
        <f>IF(H462="","",IF(I462="já",H462-Stillingar!$B$3,H462))</f>
        <v/>
      </c>
      <c r="N462" s="10"/>
      <c r="P462" s="10"/>
      <c r="S462" s="10"/>
      <c r="U462" s="11"/>
    </row>
    <row r="463" spans="8:21" x14ac:dyDescent="0.2">
      <c r="H463" s="7"/>
      <c r="I463" s="8" t="str">
        <f>IF(H463="","",IF(AND(OR(K463="rafmagn",K463="vetni"),H463&lt;Stillingar!$B$2),"já","nei"))</f>
        <v/>
      </c>
      <c r="J463" s="9" t="str">
        <f>IF(H463="","",IF(I463="já",H463-Stillingar!$B$3,H463))</f>
        <v/>
      </c>
      <c r="N463" s="10"/>
      <c r="P463" s="10"/>
      <c r="S463" s="10"/>
      <c r="U463" s="11"/>
    </row>
    <row r="464" spans="8:21" x14ac:dyDescent="0.2">
      <c r="H464" s="7"/>
      <c r="I464" s="8" t="str">
        <f>IF(H464="","",IF(AND(OR(K464="rafmagn",K464="vetni"),H464&lt;Stillingar!$B$2),"já","nei"))</f>
        <v/>
      </c>
      <c r="J464" s="9" t="str">
        <f>IF(H464="","",IF(I464="já",H464-Stillingar!$B$3,H464))</f>
        <v/>
      </c>
      <c r="N464" s="10"/>
      <c r="P464" s="10"/>
      <c r="S464" s="10"/>
      <c r="U464" s="11"/>
    </row>
    <row r="465" spans="8:21" x14ac:dyDescent="0.2">
      <c r="H465" s="7"/>
      <c r="I465" s="8" t="str">
        <f>IF(H465="","",IF(AND(OR(K465="rafmagn",K465="vetni"),H465&lt;Stillingar!$B$2),"já","nei"))</f>
        <v/>
      </c>
      <c r="J465" s="9" t="str">
        <f>IF(H465="","",IF(I465="já",H465-Stillingar!$B$3,H465))</f>
        <v/>
      </c>
      <c r="N465" s="10"/>
      <c r="P465" s="10"/>
      <c r="S465" s="10"/>
      <c r="U465" s="11"/>
    </row>
    <row r="466" spans="8:21" x14ac:dyDescent="0.2">
      <c r="H466" s="7"/>
      <c r="I466" s="8" t="str">
        <f>IF(H466="","",IF(AND(OR(K466="rafmagn",K466="vetni"),H466&lt;Stillingar!$B$2),"já","nei"))</f>
        <v/>
      </c>
      <c r="J466" s="9" t="str">
        <f>IF(H466="","",IF(I466="já",H466-Stillingar!$B$3,H466))</f>
        <v/>
      </c>
      <c r="N466" s="10"/>
      <c r="P466" s="10"/>
      <c r="S466" s="10"/>
      <c r="U466" s="11"/>
    </row>
    <row r="467" spans="8:21" x14ac:dyDescent="0.2">
      <c r="H467" s="7"/>
      <c r="I467" s="8" t="str">
        <f>IF(H467="","",IF(AND(OR(K467="rafmagn",K467="vetni"),H467&lt;Stillingar!$B$2),"já","nei"))</f>
        <v/>
      </c>
      <c r="J467" s="9" t="str">
        <f>IF(H467="","",IF(I467="já",H467-Stillingar!$B$3,H467))</f>
        <v/>
      </c>
      <c r="N467" s="10"/>
      <c r="P467" s="10"/>
      <c r="S467" s="10"/>
      <c r="U467" s="11"/>
    </row>
    <row r="468" spans="8:21" x14ac:dyDescent="0.2">
      <c r="H468" s="7"/>
      <c r="I468" s="8" t="str">
        <f>IF(H468="","",IF(AND(OR(K468="rafmagn",K468="vetni"),H468&lt;Stillingar!$B$2),"já","nei"))</f>
        <v/>
      </c>
      <c r="J468" s="9" t="str">
        <f>IF(H468="","",IF(I468="já",H468-Stillingar!$B$3,H468))</f>
        <v/>
      </c>
      <c r="N468" s="10"/>
      <c r="P468" s="10"/>
      <c r="S468" s="10"/>
      <c r="U468" s="11"/>
    </row>
    <row r="469" spans="8:21" x14ac:dyDescent="0.2">
      <c r="H469" s="7"/>
      <c r="I469" s="8" t="str">
        <f>IF(H469="","",IF(AND(OR(K469="rafmagn",K469="vetni"),H469&lt;Stillingar!$B$2),"já","nei"))</f>
        <v/>
      </c>
      <c r="J469" s="9" t="str">
        <f>IF(H469="","",IF(I469="já",H469-Stillingar!$B$3,H469))</f>
        <v/>
      </c>
      <c r="N469" s="10"/>
      <c r="P469" s="10"/>
      <c r="S469" s="10"/>
      <c r="U469" s="11"/>
    </row>
    <row r="470" spans="8:21" x14ac:dyDescent="0.2">
      <c r="H470" s="7"/>
      <c r="I470" s="8" t="str">
        <f>IF(H470="","",IF(AND(OR(K470="rafmagn",K470="vetni"),H470&lt;Stillingar!$B$2),"já","nei"))</f>
        <v/>
      </c>
      <c r="J470" s="9" t="str">
        <f>IF(H470="","",IF(I470="já",H470-Stillingar!$B$3,H470))</f>
        <v/>
      </c>
      <c r="N470" s="10"/>
      <c r="P470" s="10"/>
      <c r="S470" s="10"/>
      <c r="U470" s="11"/>
    </row>
    <row r="471" spans="8:21" x14ac:dyDescent="0.2">
      <c r="H471" s="7"/>
      <c r="I471" s="8" t="str">
        <f>IF(H471="","",IF(AND(OR(K471="rafmagn",K471="vetni"),H471&lt;Stillingar!$B$2),"já","nei"))</f>
        <v/>
      </c>
      <c r="J471" s="9" t="str">
        <f>IF(H471="","",IF(I471="já",H471-Stillingar!$B$3,H471))</f>
        <v/>
      </c>
      <c r="N471" s="10"/>
      <c r="P471" s="10"/>
      <c r="S471" s="10"/>
      <c r="U471" s="11"/>
    </row>
    <row r="472" spans="8:21" x14ac:dyDescent="0.2">
      <c r="H472" s="7"/>
      <c r="I472" s="8" t="str">
        <f>IF(H472="","",IF(AND(OR(K472="rafmagn",K472="vetni"),H472&lt;Stillingar!$B$2),"já","nei"))</f>
        <v/>
      </c>
      <c r="J472" s="9" t="str">
        <f>IF(H472="","",IF(I472="já",H472-Stillingar!$B$3,H472))</f>
        <v/>
      </c>
      <c r="N472" s="10"/>
      <c r="P472" s="10"/>
      <c r="S472" s="10"/>
      <c r="U472" s="11"/>
    </row>
    <row r="473" spans="8:21" x14ac:dyDescent="0.2">
      <c r="H473" s="7"/>
      <c r="I473" s="8" t="str">
        <f>IF(H473="","",IF(AND(OR(K473="rafmagn",K473="vetni"),H473&lt;Stillingar!$B$2),"já","nei"))</f>
        <v/>
      </c>
      <c r="J473" s="9" t="str">
        <f>IF(H473="","",IF(I473="já",H473-Stillingar!$B$3,H473))</f>
        <v/>
      </c>
      <c r="N473" s="10"/>
      <c r="P473" s="10"/>
      <c r="S473" s="10"/>
      <c r="U473" s="11"/>
    </row>
    <row r="474" spans="8:21" x14ac:dyDescent="0.2">
      <c r="H474" s="7"/>
      <c r="I474" s="8" t="str">
        <f>IF(H474="","",IF(AND(OR(K474="rafmagn",K474="vetni"),H474&lt;Stillingar!$B$2),"já","nei"))</f>
        <v/>
      </c>
      <c r="J474" s="9" t="str">
        <f>IF(H474="","",IF(I474="já",H474-Stillingar!$B$3,H474))</f>
        <v/>
      </c>
      <c r="N474" s="10"/>
      <c r="P474" s="10"/>
      <c r="S474" s="10"/>
      <c r="U474" s="11"/>
    </row>
    <row r="475" spans="8:21" x14ac:dyDescent="0.2">
      <c r="H475" s="7"/>
      <c r="I475" s="8" t="str">
        <f>IF(H475="","",IF(AND(OR(K475="rafmagn",K475="vetni"),H475&lt;Stillingar!$B$2),"já","nei"))</f>
        <v/>
      </c>
      <c r="J475" s="9" t="str">
        <f>IF(H475="","",IF(I475="já",H475-Stillingar!$B$3,H475))</f>
        <v/>
      </c>
      <c r="N475" s="10"/>
      <c r="P475" s="10"/>
      <c r="S475" s="10"/>
      <c r="U475" s="11"/>
    </row>
    <row r="476" spans="8:21" x14ac:dyDescent="0.2">
      <c r="H476" s="7"/>
      <c r="I476" s="8" t="str">
        <f>IF(H476="","",IF(AND(OR(K476="rafmagn",K476="vetni"),H476&lt;Stillingar!$B$2),"já","nei"))</f>
        <v/>
      </c>
      <c r="J476" s="9" t="str">
        <f>IF(H476="","",IF(I476="já",H476-Stillingar!$B$3,H476))</f>
        <v/>
      </c>
      <c r="N476" s="10"/>
      <c r="P476" s="10"/>
      <c r="S476" s="10"/>
      <c r="U476" s="11"/>
    </row>
    <row r="477" spans="8:21" x14ac:dyDescent="0.2">
      <c r="H477" s="7"/>
      <c r="I477" s="8" t="str">
        <f>IF(H477="","",IF(AND(OR(K477="rafmagn",K477="vetni"),H477&lt;Stillingar!$B$2),"já","nei"))</f>
        <v/>
      </c>
      <c r="J477" s="9" t="str">
        <f>IF(H477="","",IF(I477="já",H477-Stillingar!$B$3,H477))</f>
        <v/>
      </c>
      <c r="N477" s="10"/>
      <c r="P477" s="10"/>
      <c r="S477" s="10"/>
      <c r="U477" s="11"/>
    </row>
    <row r="478" spans="8:21" x14ac:dyDescent="0.2">
      <c r="H478" s="7"/>
      <c r="I478" s="8" t="str">
        <f>IF(H478="","",IF(AND(OR(K478="rafmagn",K478="vetni"),H478&lt;Stillingar!$B$2),"já","nei"))</f>
        <v/>
      </c>
      <c r="J478" s="9" t="str">
        <f>IF(H478="","",IF(I478="já",H478-Stillingar!$B$3,H478))</f>
        <v/>
      </c>
      <c r="N478" s="10"/>
      <c r="P478" s="10"/>
      <c r="S478" s="10"/>
      <c r="U478" s="11"/>
    </row>
    <row r="479" spans="8:21" x14ac:dyDescent="0.2">
      <c r="H479" s="7"/>
      <c r="I479" s="8" t="str">
        <f>IF(H479="","",IF(AND(OR(K479="rafmagn",K479="vetni"),H479&lt;Stillingar!$B$2),"já","nei"))</f>
        <v/>
      </c>
      <c r="J479" s="9" t="str">
        <f>IF(H479="","",IF(I479="já",H479-Stillingar!$B$3,H479))</f>
        <v/>
      </c>
      <c r="N479" s="10"/>
      <c r="P479" s="10"/>
      <c r="S479" s="10"/>
      <c r="U479" s="11"/>
    </row>
    <row r="480" spans="8:21" x14ac:dyDescent="0.2">
      <c r="H480" s="7"/>
      <c r="I480" s="8" t="str">
        <f>IF(H480="","",IF(AND(OR(K480="rafmagn",K480="vetni"),H480&lt;Stillingar!$B$2),"já","nei"))</f>
        <v/>
      </c>
      <c r="J480" s="9" t="str">
        <f>IF(H480="","",IF(I480="já",H480-Stillingar!$B$3,H480))</f>
        <v/>
      </c>
      <c r="N480" s="10"/>
      <c r="P480" s="10"/>
      <c r="S480" s="10"/>
      <c r="U480" s="11"/>
    </row>
    <row r="481" spans="8:21" x14ac:dyDescent="0.2">
      <c r="H481" s="7"/>
      <c r="I481" s="8" t="str">
        <f>IF(H481="","",IF(AND(OR(K481="rafmagn",K481="vetni"),H481&lt;Stillingar!$B$2),"já","nei"))</f>
        <v/>
      </c>
      <c r="J481" s="9" t="str">
        <f>IF(H481="","",IF(I481="já",H481-Stillingar!$B$3,H481))</f>
        <v/>
      </c>
      <c r="N481" s="10"/>
      <c r="P481" s="10"/>
      <c r="S481" s="10"/>
      <c r="U481" s="11"/>
    </row>
    <row r="482" spans="8:21" x14ac:dyDescent="0.2">
      <c r="H482" s="7"/>
      <c r="I482" s="8" t="str">
        <f>IF(H482="","",IF(AND(OR(K482="rafmagn",K482="vetni"),H482&lt;Stillingar!$B$2),"já","nei"))</f>
        <v/>
      </c>
      <c r="J482" s="9" t="str">
        <f>IF(H482="","",IF(I482="já",H482-Stillingar!$B$3,H482))</f>
        <v/>
      </c>
      <c r="N482" s="10"/>
      <c r="P482" s="10"/>
      <c r="S482" s="10"/>
      <c r="U482" s="11"/>
    </row>
    <row r="483" spans="8:21" x14ac:dyDescent="0.2">
      <c r="H483" s="7"/>
      <c r="I483" s="8" t="str">
        <f>IF(H483="","",IF(AND(OR(K483="rafmagn",K483="vetni"),H483&lt;Stillingar!$B$2),"já","nei"))</f>
        <v/>
      </c>
      <c r="J483" s="9" t="str">
        <f>IF(H483="","",IF(I483="já",H483-Stillingar!$B$3,H483))</f>
        <v/>
      </c>
      <c r="N483" s="10"/>
      <c r="P483" s="10"/>
      <c r="S483" s="10"/>
      <c r="U483" s="11"/>
    </row>
    <row r="484" spans="8:21" x14ac:dyDescent="0.2">
      <c r="H484" s="7"/>
      <c r="I484" s="8" t="str">
        <f>IF(H484="","",IF(AND(OR(K484="rafmagn",K484="vetni"),H484&lt;Stillingar!$B$2),"já","nei"))</f>
        <v/>
      </c>
      <c r="J484" s="9" t="str">
        <f>IF(H484="","",IF(I484="já",H484-Stillingar!$B$3,H484))</f>
        <v/>
      </c>
      <c r="N484" s="10"/>
      <c r="P484" s="10"/>
      <c r="S484" s="10"/>
      <c r="U484" s="11"/>
    </row>
    <row r="485" spans="8:21" x14ac:dyDescent="0.2">
      <c r="H485" s="7"/>
      <c r="I485" s="8" t="str">
        <f>IF(H485="","",IF(AND(OR(K485="rafmagn",K485="vetni"),H485&lt;Stillingar!$B$2),"já","nei"))</f>
        <v/>
      </c>
      <c r="J485" s="9" t="str">
        <f>IF(H485="","",IF(I485="já",H485-Stillingar!$B$3,H485))</f>
        <v/>
      </c>
      <c r="N485" s="10"/>
      <c r="P485" s="10"/>
      <c r="S485" s="10"/>
      <c r="U485" s="11"/>
    </row>
    <row r="486" spans="8:21" x14ac:dyDescent="0.2">
      <c r="H486" s="7"/>
      <c r="I486" s="8" t="str">
        <f>IF(H486="","",IF(AND(OR(K486="rafmagn",K486="vetni"),H486&lt;Stillingar!$B$2),"já","nei"))</f>
        <v/>
      </c>
      <c r="J486" s="9" t="str">
        <f>IF(H486="","",IF(I486="já",H486-Stillingar!$B$3,H486))</f>
        <v/>
      </c>
      <c r="N486" s="10"/>
      <c r="P486" s="10"/>
      <c r="S486" s="10"/>
      <c r="U486" s="11"/>
    </row>
    <row r="487" spans="8:21" x14ac:dyDescent="0.2">
      <c r="H487" s="7"/>
      <c r="I487" s="8" t="str">
        <f>IF(H487="","",IF(AND(OR(K487="rafmagn",K487="vetni"),H487&lt;Stillingar!$B$2),"já","nei"))</f>
        <v/>
      </c>
      <c r="J487" s="9" t="str">
        <f>IF(H487="","",IF(I487="já",H487-Stillingar!$B$3,H487))</f>
        <v/>
      </c>
      <c r="N487" s="10"/>
      <c r="P487" s="10"/>
      <c r="S487" s="10"/>
      <c r="U487" s="11"/>
    </row>
    <row r="488" spans="8:21" x14ac:dyDescent="0.2">
      <c r="H488" s="7"/>
      <c r="I488" s="8" t="str">
        <f>IF(H488="","",IF(AND(OR(K488="rafmagn",K488="vetni"),H488&lt;Stillingar!$B$2),"já","nei"))</f>
        <v/>
      </c>
      <c r="J488" s="9" t="str">
        <f>IF(H488="","",IF(I488="já",H488-Stillingar!$B$3,H488))</f>
        <v/>
      </c>
      <c r="N488" s="10"/>
      <c r="P488" s="10"/>
      <c r="S488" s="10"/>
      <c r="U488" s="11"/>
    </row>
    <row r="489" spans="8:21" x14ac:dyDescent="0.2">
      <c r="H489" s="7"/>
      <c r="I489" s="8" t="str">
        <f>IF(H489="","",IF(AND(OR(K489="rafmagn",K489="vetni"),H489&lt;Stillingar!$B$2),"já","nei"))</f>
        <v/>
      </c>
      <c r="J489" s="9" t="str">
        <f>IF(H489="","",IF(I489="já",H489-Stillingar!$B$3,H489))</f>
        <v/>
      </c>
      <c r="N489" s="10"/>
      <c r="P489" s="10"/>
      <c r="S489" s="10"/>
      <c r="U489" s="11"/>
    </row>
    <row r="490" spans="8:21" x14ac:dyDescent="0.2">
      <c r="H490" s="7"/>
      <c r="I490" s="8" t="str">
        <f>IF(H490="","",IF(AND(OR(K490="rafmagn",K490="vetni"),H490&lt;Stillingar!$B$2),"já","nei"))</f>
        <v/>
      </c>
      <c r="J490" s="9" t="str">
        <f>IF(H490="","",IF(I490="já",H490-Stillingar!$B$3,H490))</f>
        <v/>
      </c>
      <c r="N490" s="10"/>
      <c r="P490" s="10"/>
      <c r="S490" s="10"/>
      <c r="U490" s="11"/>
    </row>
    <row r="491" spans="8:21" x14ac:dyDescent="0.2">
      <c r="H491" s="7"/>
      <c r="I491" s="8" t="str">
        <f>IF(H491="","",IF(AND(OR(K491="rafmagn",K491="vetni"),H491&lt;Stillingar!$B$2),"já","nei"))</f>
        <v/>
      </c>
      <c r="J491" s="9" t="str">
        <f>IF(H491="","",IF(I491="já",H491-Stillingar!$B$3,H491))</f>
        <v/>
      </c>
      <c r="N491" s="10"/>
      <c r="P491" s="10"/>
      <c r="S491" s="10"/>
      <c r="U491" s="11"/>
    </row>
    <row r="492" spans="8:21" x14ac:dyDescent="0.2">
      <c r="H492" s="7"/>
      <c r="I492" s="8" t="str">
        <f>IF(H492="","",IF(AND(OR(K492="rafmagn",K492="vetni"),H492&lt;Stillingar!$B$2),"já","nei"))</f>
        <v/>
      </c>
      <c r="J492" s="9" t="str">
        <f>IF(H492="","",IF(I492="já",H492-Stillingar!$B$3,H492))</f>
        <v/>
      </c>
      <c r="N492" s="10"/>
      <c r="P492" s="10"/>
      <c r="S492" s="10"/>
      <c r="U492" s="11"/>
    </row>
    <row r="493" spans="8:21" x14ac:dyDescent="0.2">
      <c r="H493" s="7"/>
      <c r="I493" s="8" t="str">
        <f>IF(H493="","",IF(AND(OR(K493="rafmagn",K493="vetni"),H493&lt;Stillingar!$B$2),"já","nei"))</f>
        <v/>
      </c>
      <c r="J493" s="9" t="str">
        <f>IF(H493="","",IF(I493="já",H493-Stillingar!$B$3,H493))</f>
        <v/>
      </c>
      <c r="N493" s="10"/>
      <c r="P493" s="10"/>
      <c r="S493" s="10"/>
      <c r="U493" s="11"/>
    </row>
    <row r="494" spans="8:21" x14ac:dyDescent="0.2">
      <c r="H494" s="7"/>
      <c r="I494" s="8" t="str">
        <f>IF(H494="","",IF(AND(OR(K494="rafmagn",K494="vetni"),H494&lt;Stillingar!$B$2),"já","nei"))</f>
        <v/>
      </c>
      <c r="J494" s="9" t="str">
        <f>IF(H494="","",IF(I494="já",H494-Stillingar!$B$3,H494))</f>
        <v/>
      </c>
      <c r="N494" s="10"/>
      <c r="P494" s="10"/>
      <c r="S494" s="10"/>
      <c r="U494" s="11"/>
    </row>
    <row r="495" spans="8:21" x14ac:dyDescent="0.2">
      <c r="H495" s="7"/>
      <c r="I495" s="8" t="str">
        <f>IF(H495="","",IF(AND(OR(K495="rafmagn",K495="vetni"),H495&lt;Stillingar!$B$2),"já","nei"))</f>
        <v/>
      </c>
      <c r="J495" s="9" t="str">
        <f>IF(H495="","",IF(I495="já",H495-Stillingar!$B$3,H495))</f>
        <v/>
      </c>
      <c r="N495" s="10"/>
      <c r="P495" s="10"/>
      <c r="S495" s="10"/>
      <c r="U495" s="11"/>
    </row>
    <row r="496" spans="8:21" x14ac:dyDescent="0.2">
      <c r="H496" s="7"/>
      <c r="I496" s="8" t="str">
        <f>IF(H496="","",IF(AND(OR(K496="rafmagn",K496="vetni"),H496&lt;Stillingar!$B$2),"já","nei"))</f>
        <v/>
      </c>
      <c r="J496" s="9" t="str">
        <f>IF(H496="","",IF(I496="já",H496-Stillingar!$B$3,H496))</f>
        <v/>
      </c>
      <c r="N496" s="10"/>
      <c r="P496" s="10"/>
      <c r="S496" s="10"/>
      <c r="U496" s="11"/>
    </row>
    <row r="497" spans="8:21" x14ac:dyDescent="0.2">
      <c r="H497" s="7"/>
      <c r="I497" s="8" t="str">
        <f>IF(H497="","",IF(AND(OR(K497="rafmagn",K497="vetni"),H497&lt;Stillingar!$B$2),"já","nei"))</f>
        <v/>
      </c>
      <c r="J497" s="9" t="str">
        <f>IF(H497="","",IF(I497="já",H497-Stillingar!$B$3,H497))</f>
        <v/>
      </c>
      <c r="N497" s="10"/>
      <c r="P497" s="10"/>
      <c r="S497" s="10"/>
      <c r="U497" s="11"/>
    </row>
    <row r="498" spans="8:21" x14ac:dyDescent="0.2">
      <c r="H498" s="7"/>
      <c r="I498" s="8" t="str">
        <f>IF(H498="","",IF(AND(OR(K498="rafmagn",K498="vetni"),H498&lt;Stillingar!$B$2),"já","nei"))</f>
        <v/>
      </c>
      <c r="J498" s="9" t="str">
        <f>IF(H498="","",IF(I498="já",H498-Stillingar!$B$3,H498))</f>
        <v/>
      </c>
      <c r="N498" s="10"/>
      <c r="P498" s="10"/>
      <c r="S498" s="10"/>
      <c r="U498" s="11"/>
    </row>
    <row r="499" spans="8:21" x14ac:dyDescent="0.2">
      <c r="H499" s="7"/>
      <c r="I499" s="8" t="str">
        <f>IF(H499="","",IF(AND(OR(K499="rafmagn",K499="vetni"),H499&lt;Stillingar!$B$2),"já","nei"))</f>
        <v/>
      </c>
      <c r="J499" s="9" t="str">
        <f>IF(H499="","",IF(I499="já",H499-Stillingar!$B$3,H499))</f>
        <v/>
      </c>
      <c r="N499" s="10"/>
      <c r="P499" s="10"/>
      <c r="S499" s="10"/>
      <c r="U499" s="11"/>
    </row>
    <row r="500" spans="8:21" x14ac:dyDescent="0.2">
      <c r="H500" s="7"/>
      <c r="I500" s="8" t="str">
        <f>IF(H500="","",IF(AND(OR(K500="rafmagn",K500="vetni"),H500&lt;Stillingar!$B$2),"já","nei"))</f>
        <v/>
      </c>
      <c r="J500" s="9" t="str">
        <f>IF(H500="","",IF(I500="já",H500-Stillingar!$B$3,H500))</f>
        <v/>
      </c>
      <c r="N500" s="10"/>
      <c r="P500" s="10"/>
      <c r="S500" s="10"/>
      <c r="U500" s="11"/>
    </row>
    <row r="501" spans="8:21" x14ac:dyDescent="0.2">
      <c r="H501" s="7"/>
      <c r="I501" s="8" t="str">
        <f>IF(H501="","",IF(AND(OR(K501="rafmagn",K501="vetni"),H501&lt;Stillingar!$B$2),"já","nei"))</f>
        <v/>
      </c>
      <c r="J501" s="9" t="str">
        <f>IF(H501="","",IF(I501="já",H501-Stillingar!$B$3,H501))</f>
        <v/>
      </c>
      <c r="N501" s="10"/>
      <c r="P501" s="10"/>
      <c r="S501" s="10"/>
      <c r="U501" s="11"/>
    </row>
    <row r="502" spans="8:21" x14ac:dyDescent="0.2">
      <c r="H502" s="7"/>
      <c r="I502" s="8" t="str">
        <f>IF(H502="","",IF(AND(OR(K502="rafmagn",K502="vetni"),H502&lt;Stillingar!$B$2),"já","nei"))</f>
        <v/>
      </c>
      <c r="J502" s="9" t="str">
        <f>IF(H502="","",IF(I502="já",H502-Stillingar!$B$3,H502))</f>
        <v/>
      </c>
      <c r="N502" s="10"/>
      <c r="P502" s="10"/>
      <c r="S502" s="10"/>
      <c r="U502" s="11"/>
    </row>
    <row r="503" spans="8:21" x14ac:dyDescent="0.2">
      <c r="H503" s="7"/>
      <c r="I503" s="8" t="str">
        <f>IF(H503="","",IF(AND(OR(K503="rafmagn",K503="vetni"),H503&lt;Stillingar!$B$2),"já","nei"))</f>
        <v/>
      </c>
      <c r="J503" s="9" t="str">
        <f>IF(H503="","",IF(I503="já",H503-Stillingar!$B$3,H503))</f>
        <v/>
      </c>
      <c r="N503" s="10"/>
      <c r="P503" s="10"/>
      <c r="S503" s="10"/>
      <c r="U503" s="11"/>
    </row>
    <row r="504" spans="8:21" x14ac:dyDescent="0.2">
      <c r="H504" s="7"/>
      <c r="I504" s="8" t="str">
        <f>IF(H504="","",IF(AND(OR(K504="rafmagn",K504="vetni"),H504&lt;Stillingar!$B$2),"já","nei"))</f>
        <v/>
      </c>
      <c r="J504" s="9" t="str">
        <f>IF(H504="","",IF(I504="já",H504-Stillingar!$B$3,H504))</f>
        <v/>
      </c>
      <c r="N504" s="10"/>
      <c r="P504" s="10"/>
      <c r="S504" s="10"/>
      <c r="U504" s="11"/>
    </row>
    <row r="505" spans="8:21" x14ac:dyDescent="0.2">
      <c r="H505" s="7"/>
      <c r="I505" s="8" t="str">
        <f>IF(H505="","",IF(AND(OR(K505="rafmagn",K505="vetni"),H505&lt;Stillingar!$B$2),"já","nei"))</f>
        <v/>
      </c>
      <c r="J505" s="9" t="str">
        <f>IF(H505="","",IF(I505="já",H505-Stillingar!$B$3,H505))</f>
        <v/>
      </c>
      <c r="N505" s="10"/>
      <c r="P505" s="10"/>
      <c r="S505" s="10"/>
      <c r="U505" s="11"/>
    </row>
    <row r="506" spans="8:21" x14ac:dyDescent="0.2">
      <c r="H506" s="7"/>
      <c r="I506" s="8" t="str">
        <f>IF(H506="","",IF(AND(OR(K506="rafmagn",K506="vetni"),H506&lt;Stillingar!$B$2),"já","nei"))</f>
        <v/>
      </c>
      <c r="J506" s="9" t="str">
        <f>IF(H506="","",IF(I506="já",H506-Stillingar!$B$3,H506))</f>
        <v/>
      </c>
      <c r="N506" s="10"/>
      <c r="P506" s="10"/>
      <c r="S506" s="10"/>
      <c r="U506" s="11"/>
    </row>
    <row r="507" spans="8:21" x14ac:dyDescent="0.2">
      <c r="H507" s="7"/>
      <c r="I507" s="8" t="str">
        <f>IF(H507="","",IF(AND(OR(K507="rafmagn",K507="vetni"),H507&lt;Stillingar!$B$2),"já","nei"))</f>
        <v/>
      </c>
      <c r="J507" s="9" t="str">
        <f>IF(H507="","",IF(I507="já",H507-Stillingar!$B$3,H507))</f>
        <v/>
      </c>
      <c r="N507" s="10"/>
      <c r="P507" s="10"/>
      <c r="S507" s="10"/>
      <c r="U507" s="11"/>
    </row>
    <row r="508" spans="8:21" x14ac:dyDescent="0.2">
      <c r="H508" s="7"/>
      <c r="I508" s="8" t="str">
        <f>IF(H508="","",IF(AND(OR(K508="rafmagn",K508="vetni"),H508&lt;Stillingar!$B$2),"já","nei"))</f>
        <v/>
      </c>
      <c r="J508" s="9" t="str">
        <f>IF(H508="","",IF(I508="já",H508-Stillingar!$B$3,H508))</f>
        <v/>
      </c>
      <c r="N508" s="10"/>
      <c r="P508" s="10"/>
      <c r="S508" s="10"/>
      <c r="U508" s="11"/>
    </row>
    <row r="509" spans="8:21" x14ac:dyDescent="0.2">
      <c r="H509" s="7"/>
      <c r="I509" s="8" t="str">
        <f>IF(H509="","",IF(AND(OR(K509="rafmagn",K509="vetni"),H509&lt;Stillingar!$B$2),"já","nei"))</f>
        <v/>
      </c>
      <c r="J509" s="9" t="str">
        <f>IF(H509="","",IF(I509="já",H509-Stillingar!$B$3,H509))</f>
        <v/>
      </c>
      <c r="N509" s="10"/>
      <c r="P509" s="10"/>
      <c r="S509" s="10"/>
      <c r="U509" s="11"/>
    </row>
    <row r="510" spans="8:21" x14ac:dyDescent="0.2">
      <c r="H510" s="7"/>
      <c r="I510" s="8" t="str">
        <f>IF(H510="","",IF(AND(OR(K510="rafmagn",K510="vetni"),H510&lt;Stillingar!$B$2),"já","nei"))</f>
        <v/>
      </c>
      <c r="J510" s="9" t="str">
        <f>IF(H510="","",IF(I510="já",H510-Stillingar!$B$3,H510))</f>
        <v/>
      </c>
      <c r="N510" s="10"/>
      <c r="P510" s="10"/>
      <c r="S510" s="10"/>
      <c r="U510" s="11"/>
    </row>
    <row r="511" spans="8:21" x14ac:dyDescent="0.2">
      <c r="H511" s="7"/>
      <c r="I511" s="8" t="str">
        <f>IF(H511="","",IF(AND(OR(K511="rafmagn",K511="vetni"),H511&lt;Stillingar!$B$2),"já","nei"))</f>
        <v/>
      </c>
      <c r="J511" s="9" t="str">
        <f>IF(H511="","",IF(I511="já",H511-Stillingar!$B$3,H511))</f>
        <v/>
      </c>
      <c r="N511" s="10"/>
      <c r="P511" s="10"/>
      <c r="S511" s="10"/>
      <c r="U511" s="11"/>
    </row>
    <row r="512" spans="8:21" x14ac:dyDescent="0.2">
      <c r="H512" s="7"/>
      <c r="I512" s="8" t="str">
        <f>IF(H512="","",IF(AND(OR(K512="rafmagn",K512="vetni"),H512&lt;Stillingar!$B$2),"já","nei"))</f>
        <v/>
      </c>
      <c r="J512" s="9" t="str">
        <f>IF(H512="","",IF(I512="já",H512-Stillingar!$B$3,H512))</f>
        <v/>
      </c>
      <c r="N512" s="10"/>
      <c r="P512" s="10"/>
      <c r="S512" s="10"/>
      <c r="U512" s="11"/>
    </row>
    <row r="513" spans="8:21" x14ac:dyDescent="0.2">
      <c r="H513" s="7"/>
      <c r="I513" s="8" t="str">
        <f>IF(H513="","",IF(AND(OR(K513="rafmagn",K513="vetni"),H513&lt;Stillingar!$B$2),"já","nei"))</f>
        <v/>
      </c>
      <c r="J513" s="9" t="str">
        <f>IF(H513="","",IF(I513="já",H513-Stillingar!$B$3,H513))</f>
        <v/>
      </c>
      <c r="N513" s="10"/>
      <c r="P513" s="10"/>
      <c r="S513" s="10"/>
      <c r="U513" s="11"/>
    </row>
    <row r="514" spans="8:21" x14ac:dyDescent="0.2">
      <c r="H514" s="7"/>
      <c r="I514" s="8" t="str">
        <f>IF(H514="","",IF(AND(OR(K514="rafmagn",K514="vetni"),H514&lt;Stillingar!$B$2),"já","nei"))</f>
        <v/>
      </c>
      <c r="J514" s="9" t="str">
        <f>IF(H514="","",IF(I514="já",H514-Stillingar!$B$3,H514))</f>
        <v/>
      </c>
      <c r="N514" s="10"/>
      <c r="P514" s="10"/>
      <c r="S514" s="10"/>
      <c r="U514" s="11"/>
    </row>
    <row r="515" spans="8:21" x14ac:dyDescent="0.2">
      <c r="H515" s="7"/>
      <c r="I515" s="8" t="str">
        <f>IF(H515="","",IF(AND(OR(K515="rafmagn",K515="vetni"),H515&lt;Stillingar!$B$2),"já","nei"))</f>
        <v/>
      </c>
      <c r="J515" s="9" t="str">
        <f>IF(H515="","",IF(I515="já",H515-Stillingar!$B$3,H515))</f>
        <v/>
      </c>
      <c r="N515" s="10"/>
      <c r="P515" s="10"/>
      <c r="S515" s="10"/>
      <c r="U515" s="11"/>
    </row>
    <row r="516" spans="8:21" x14ac:dyDescent="0.2">
      <c r="H516" s="7"/>
      <c r="I516" s="8" t="str">
        <f>IF(H516="","",IF(AND(OR(K516="rafmagn",K516="vetni"),H516&lt;Stillingar!$B$2),"já","nei"))</f>
        <v/>
      </c>
      <c r="J516" s="9" t="str">
        <f>IF(H516="","",IF(I516="já",H516-Stillingar!$B$3,H516))</f>
        <v/>
      </c>
      <c r="N516" s="10"/>
      <c r="P516" s="10"/>
      <c r="S516" s="10"/>
      <c r="U516" s="11"/>
    </row>
    <row r="517" spans="8:21" x14ac:dyDescent="0.2">
      <c r="H517" s="7"/>
      <c r="I517" s="8" t="str">
        <f>IF(H517="","",IF(AND(OR(K517="rafmagn",K517="vetni"),H517&lt;Stillingar!$B$2),"já","nei"))</f>
        <v/>
      </c>
      <c r="J517" s="9" t="str">
        <f>IF(H517="","",IF(I517="já",H517-Stillingar!$B$3,H517))</f>
        <v/>
      </c>
      <c r="N517" s="10"/>
      <c r="P517" s="10"/>
      <c r="S517" s="10"/>
      <c r="U517" s="11"/>
    </row>
    <row r="518" spans="8:21" x14ac:dyDescent="0.2">
      <c r="H518" s="7"/>
      <c r="I518" s="8" t="str">
        <f>IF(H518="","",IF(AND(OR(K518="rafmagn",K518="vetni"),H518&lt;Stillingar!$B$2),"já","nei"))</f>
        <v/>
      </c>
      <c r="J518" s="9" t="str">
        <f>IF(H518="","",IF(I518="já",H518-Stillingar!$B$3,H518))</f>
        <v/>
      </c>
      <c r="N518" s="10"/>
      <c r="P518" s="10"/>
      <c r="S518" s="10"/>
      <c r="U518" s="11"/>
    </row>
    <row r="519" spans="8:21" x14ac:dyDescent="0.2">
      <c r="H519" s="7"/>
      <c r="I519" s="8" t="str">
        <f>IF(H519="","",IF(AND(OR(K519="rafmagn",K519="vetni"),H519&lt;Stillingar!$B$2),"já","nei"))</f>
        <v/>
      </c>
      <c r="J519" s="9" t="str">
        <f>IF(H519="","",IF(I519="já",H519-Stillingar!$B$3,H519))</f>
        <v/>
      </c>
      <c r="N519" s="10"/>
      <c r="P519" s="10"/>
      <c r="S519" s="10"/>
      <c r="U519" s="11"/>
    </row>
    <row r="520" spans="8:21" x14ac:dyDescent="0.2">
      <c r="H520" s="7"/>
      <c r="I520" s="8" t="str">
        <f>IF(H520="","",IF(AND(OR(K520="rafmagn",K520="vetni"),H520&lt;Stillingar!$B$2),"já","nei"))</f>
        <v/>
      </c>
      <c r="J520" s="9" t="str">
        <f>IF(H520="","",IF(I520="já",H520-Stillingar!$B$3,H520))</f>
        <v/>
      </c>
      <c r="N520" s="10"/>
      <c r="P520" s="10"/>
      <c r="S520" s="10"/>
      <c r="U520" s="11"/>
    </row>
    <row r="521" spans="8:21" x14ac:dyDescent="0.2">
      <c r="H521" s="7"/>
      <c r="I521" s="8" t="str">
        <f>IF(H521="","",IF(AND(OR(K521="rafmagn",K521="vetni"),H521&lt;Stillingar!$B$2),"já","nei"))</f>
        <v/>
      </c>
      <c r="J521" s="9" t="str">
        <f>IF(H521="","",IF(I521="já",H521-Stillingar!$B$3,H521))</f>
        <v/>
      </c>
      <c r="N521" s="10"/>
      <c r="P521" s="10"/>
      <c r="S521" s="10"/>
      <c r="U521" s="11"/>
    </row>
    <row r="522" spans="8:21" x14ac:dyDescent="0.2">
      <c r="H522" s="7"/>
      <c r="I522" s="8" t="str">
        <f>IF(H522="","",IF(AND(OR(K522="rafmagn",K522="vetni"),H522&lt;Stillingar!$B$2),"já","nei"))</f>
        <v/>
      </c>
      <c r="J522" s="9" t="str">
        <f>IF(H522="","",IF(I522="já",H522-Stillingar!$B$3,H522))</f>
        <v/>
      </c>
      <c r="N522" s="10"/>
      <c r="P522" s="10"/>
      <c r="S522" s="10"/>
      <c r="U522" s="11"/>
    </row>
    <row r="523" spans="8:21" x14ac:dyDescent="0.2">
      <c r="H523" s="7"/>
      <c r="I523" s="8" t="str">
        <f>IF(H523="","",IF(AND(OR(K523="rafmagn",K523="vetni"),H523&lt;Stillingar!$B$2),"já","nei"))</f>
        <v/>
      </c>
      <c r="J523" s="9" t="str">
        <f>IF(H523="","",IF(I523="já",H523-Stillingar!$B$3,H523))</f>
        <v/>
      </c>
      <c r="N523" s="10"/>
      <c r="P523" s="10"/>
      <c r="S523" s="10"/>
      <c r="U523" s="11"/>
    </row>
    <row r="524" spans="8:21" x14ac:dyDescent="0.2">
      <c r="H524" s="7"/>
      <c r="I524" s="8" t="str">
        <f>IF(H524="","",IF(AND(OR(K524="rafmagn",K524="vetni"),H524&lt;Stillingar!$B$2),"já","nei"))</f>
        <v/>
      </c>
      <c r="J524" s="9" t="str">
        <f>IF(H524="","",IF(I524="já",H524-Stillingar!$B$3,H524))</f>
        <v/>
      </c>
      <c r="N524" s="10"/>
      <c r="P524" s="10"/>
      <c r="S524" s="10"/>
      <c r="U524" s="11"/>
    </row>
    <row r="525" spans="8:21" x14ac:dyDescent="0.2">
      <c r="H525" s="7"/>
      <c r="I525" s="8" t="str">
        <f>IF(H525="","",IF(AND(OR(K525="rafmagn",K525="vetni"),H525&lt;Stillingar!$B$2),"já","nei"))</f>
        <v/>
      </c>
      <c r="J525" s="9" t="str">
        <f>IF(H525="","",IF(I525="já",H525-Stillingar!$B$3,H525))</f>
        <v/>
      </c>
      <c r="N525" s="10"/>
      <c r="P525" s="10"/>
      <c r="S525" s="10"/>
      <c r="U525" s="11"/>
    </row>
    <row r="526" spans="8:21" x14ac:dyDescent="0.2">
      <c r="H526" s="7"/>
      <c r="I526" s="8" t="str">
        <f>IF(H526="","",IF(AND(OR(K526="rafmagn",K526="vetni"),H526&lt;Stillingar!$B$2),"já","nei"))</f>
        <v/>
      </c>
      <c r="J526" s="9" t="str">
        <f>IF(H526="","",IF(I526="já",H526-Stillingar!$B$3,H526))</f>
        <v/>
      </c>
      <c r="N526" s="10"/>
      <c r="P526" s="10"/>
      <c r="S526" s="10"/>
      <c r="U526" s="11"/>
    </row>
    <row r="527" spans="8:21" x14ac:dyDescent="0.2">
      <c r="H527" s="7"/>
      <c r="I527" s="8" t="str">
        <f>IF(H527="","",IF(AND(OR(K527="rafmagn",K527="vetni"),H527&lt;Stillingar!$B$2),"já","nei"))</f>
        <v/>
      </c>
      <c r="J527" s="9" t="str">
        <f>IF(H527="","",IF(I527="já",H527-Stillingar!$B$3,H527))</f>
        <v/>
      </c>
      <c r="N527" s="10"/>
      <c r="P527" s="10"/>
      <c r="S527" s="10"/>
      <c r="U527" s="11"/>
    </row>
    <row r="528" spans="8:21" x14ac:dyDescent="0.2">
      <c r="H528" s="7"/>
      <c r="I528" s="8" t="str">
        <f>IF(H528="","",IF(AND(OR(K528="rafmagn",K528="vetni"),H528&lt;Stillingar!$B$2),"já","nei"))</f>
        <v/>
      </c>
      <c r="J528" s="9" t="str">
        <f>IF(H528="","",IF(I528="já",H528-Stillingar!$B$3,H528))</f>
        <v/>
      </c>
      <c r="N528" s="10"/>
      <c r="P528" s="10"/>
      <c r="S528" s="10"/>
      <c r="U528" s="11"/>
    </row>
    <row r="529" spans="8:21" x14ac:dyDescent="0.2">
      <c r="H529" s="7"/>
      <c r="I529" s="8" t="str">
        <f>IF(H529="","",IF(AND(OR(K529="rafmagn",K529="vetni"),H529&lt;Stillingar!$B$2),"já","nei"))</f>
        <v/>
      </c>
      <c r="J529" s="9" t="str">
        <f>IF(H529="","",IF(I529="já",H529-Stillingar!$B$3,H529))</f>
        <v/>
      </c>
      <c r="N529" s="10"/>
      <c r="P529" s="10"/>
      <c r="S529" s="10"/>
      <c r="U529" s="11"/>
    </row>
    <row r="530" spans="8:21" x14ac:dyDescent="0.2">
      <c r="H530" s="7"/>
      <c r="I530" s="8" t="str">
        <f>IF(H530="","",IF(AND(OR(K530="rafmagn",K530="vetni"),H530&lt;Stillingar!$B$2),"já","nei"))</f>
        <v/>
      </c>
      <c r="J530" s="9" t="str">
        <f>IF(H530="","",IF(I530="já",H530-Stillingar!$B$3,H530))</f>
        <v/>
      </c>
      <c r="N530" s="10"/>
      <c r="P530" s="10"/>
      <c r="S530" s="10"/>
      <c r="U530" s="11"/>
    </row>
    <row r="531" spans="8:21" x14ac:dyDescent="0.2">
      <c r="H531" s="7"/>
      <c r="I531" s="8" t="str">
        <f>IF(H531="","",IF(AND(OR(K531="rafmagn",K531="vetni"),H531&lt;Stillingar!$B$2),"já","nei"))</f>
        <v/>
      </c>
      <c r="J531" s="9" t="str">
        <f>IF(H531="","",IF(I531="já",H531-Stillingar!$B$3,H531))</f>
        <v/>
      </c>
      <c r="N531" s="10"/>
      <c r="P531" s="10"/>
      <c r="S531" s="10"/>
      <c r="U531" s="11"/>
    </row>
    <row r="532" spans="8:21" x14ac:dyDescent="0.2">
      <c r="H532" s="7"/>
      <c r="I532" s="8" t="str">
        <f>IF(H532="","",IF(AND(OR(K532="rafmagn",K532="vetni"),H532&lt;Stillingar!$B$2),"já","nei"))</f>
        <v/>
      </c>
      <c r="J532" s="9" t="str">
        <f>IF(H532="","",IF(I532="já",H532-Stillingar!$B$3,H532))</f>
        <v/>
      </c>
      <c r="N532" s="10"/>
      <c r="P532" s="10"/>
      <c r="S532" s="10"/>
      <c r="U532" s="11"/>
    </row>
    <row r="533" spans="8:21" x14ac:dyDescent="0.2">
      <c r="H533" s="7"/>
      <c r="I533" s="8" t="str">
        <f>IF(H533="","",IF(AND(OR(K533="rafmagn",K533="vetni"),H533&lt;Stillingar!$B$2),"já","nei"))</f>
        <v/>
      </c>
      <c r="J533" s="9" t="str">
        <f>IF(H533="","",IF(I533="já",H533-Stillingar!$B$3,H533))</f>
        <v/>
      </c>
      <c r="N533" s="10"/>
      <c r="P533" s="10"/>
      <c r="S533" s="10"/>
      <c r="U533" s="11"/>
    </row>
    <row r="534" spans="8:21" x14ac:dyDescent="0.2">
      <c r="H534" s="7"/>
      <c r="I534" s="8" t="str">
        <f>IF(H534="","",IF(AND(OR(K534="rafmagn",K534="vetni"),H534&lt;Stillingar!$B$2),"já","nei"))</f>
        <v/>
      </c>
      <c r="J534" s="9" t="str">
        <f>IF(H534="","",IF(I534="já",H534-Stillingar!$B$3,H534))</f>
        <v/>
      </c>
      <c r="N534" s="10"/>
      <c r="P534" s="10"/>
      <c r="S534" s="10"/>
      <c r="U534" s="11"/>
    </row>
    <row r="535" spans="8:21" x14ac:dyDescent="0.2">
      <c r="H535" s="7"/>
      <c r="I535" s="8" t="str">
        <f>IF(H535="","",IF(AND(OR(K535="rafmagn",K535="vetni"),H535&lt;Stillingar!$B$2),"já","nei"))</f>
        <v/>
      </c>
      <c r="J535" s="9" t="str">
        <f>IF(H535="","",IF(I535="já",H535-Stillingar!$B$3,H535))</f>
        <v/>
      </c>
      <c r="N535" s="10"/>
      <c r="P535" s="10"/>
      <c r="S535" s="10"/>
      <c r="U535" s="11"/>
    </row>
    <row r="536" spans="8:21" x14ac:dyDescent="0.2">
      <c r="H536" s="7"/>
      <c r="I536" s="8" t="str">
        <f>IF(H536="","",IF(AND(OR(K536="rafmagn",K536="vetni"),H536&lt;Stillingar!$B$2),"já","nei"))</f>
        <v/>
      </c>
      <c r="J536" s="9" t="str">
        <f>IF(H536="","",IF(I536="já",H536-Stillingar!$B$3,H536))</f>
        <v/>
      </c>
      <c r="N536" s="10"/>
      <c r="P536" s="10"/>
      <c r="S536" s="10"/>
      <c r="U536" s="11"/>
    </row>
    <row r="537" spans="8:21" x14ac:dyDescent="0.2">
      <c r="H537" s="7"/>
      <c r="I537" s="8" t="str">
        <f>IF(H537="","",IF(AND(OR(K537="rafmagn",K537="vetni"),H537&lt;Stillingar!$B$2),"já","nei"))</f>
        <v/>
      </c>
      <c r="J537" s="9" t="str">
        <f>IF(H537="","",IF(I537="já",H537-Stillingar!$B$3,H537))</f>
        <v/>
      </c>
      <c r="N537" s="10"/>
      <c r="P537" s="10"/>
      <c r="S537" s="10"/>
      <c r="U537" s="11"/>
    </row>
    <row r="538" spans="8:21" x14ac:dyDescent="0.2">
      <c r="H538" s="7"/>
      <c r="I538" s="8" t="str">
        <f>IF(H538="","",IF(AND(OR(K538="rafmagn",K538="vetni"),H538&lt;Stillingar!$B$2),"já","nei"))</f>
        <v/>
      </c>
      <c r="J538" s="9" t="str">
        <f>IF(H538="","",IF(I538="já",H538-Stillingar!$B$3,H538))</f>
        <v/>
      </c>
      <c r="N538" s="10"/>
      <c r="P538" s="10"/>
      <c r="S538" s="10"/>
      <c r="U538" s="11"/>
    </row>
    <row r="539" spans="8:21" x14ac:dyDescent="0.2">
      <c r="H539" s="7"/>
      <c r="I539" s="8" t="str">
        <f>IF(H539="","",IF(AND(OR(K539="rafmagn",K539="vetni"),H539&lt;Stillingar!$B$2),"já","nei"))</f>
        <v/>
      </c>
      <c r="J539" s="9" t="str">
        <f>IF(H539="","",IF(I539="já",H539-Stillingar!$B$3,H539))</f>
        <v/>
      </c>
      <c r="N539" s="10"/>
      <c r="P539" s="10"/>
      <c r="S539" s="10"/>
      <c r="U539" s="11"/>
    </row>
    <row r="540" spans="8:21" x14ac:dyDescent="0.2">
      <c r="H540" s="7"/>
      <c r="I540" s="8" t="str">
        <f>IF(H540="","",IF(AND(OR(K540="rafmagn",K540="vetni"),H540&lt;Stillingar!$B$2),"já","nei"))</f>
        <v/>
      </c>
      <c r="J540" s="9" t="str">
        <f>IF(H540="","",IF(I540="já",H540-Stillingar!$B$3,H540))</f>
        <v/>
      </c>
      <c r="N540" s="10"/>
      <c r="P540" s="10"/>
      <c r="S540" s="10"/>
      <c r="U540" s="11"/>
    </row>
    <row r="541" spans="8:21" x14ac:dyDescent="0.2">
      <c r="H541" s="7"/>
      <c r="I541" s="8" t="str">
        <f>IF(H541="","",IF(AND(OR(K541="rafmagn",K541="vetni"),H541&lt;Stillingar!$B$2),"já","nei"))</f>
        <v/>
      </c>
      <c r="J541" s="9" t="str">
        <f>IF(H541="","",IF(I541="já",H541-Stillingar!$B$3,H541))</f>
        <v/>
      </c>
      <c r="N541" s="10"/>
      <c r="P541" s="10"/>
      <c r="S541" s="10"/>
      <c r="U541" s="11"/>
    </row>
    <row r="542" spans="8:21" x14ac:dyDescent="0.2">
      <c r="H542" s="7"/>
      <c r="I542" s="8" t="str">
        <f>IF(H542="","",IF(AND(OR(K542="rafmagn",K542="vetni"),H542&lt;Stillingar!$B$2),"já","nei"))</f>
        <v/>
      </c>
      <c r="J542" s="9" t="str">
        <f>IF(H542="","",IF(I542="já",H542-Stillingar!$B$3,H542))</f>
        <v/>
      </c>
      <c r="N542" s="10"/>
      <c r="P542" s="10"/>
      <c r="S542" s="10"/>
      <c r="U542" s="11"/>
    </row>
    <row r="543" spans="8:21" x14ac:dyDescent="0.2">
      <c r="H543" s="7"/>
      <c r="I543" s="8" t="str">
        <f>IF(H543="","",IF(AND(OR(K543="rafmagn",K543="vetni"),H543&lt;Stillingar!$B$2),"já","nei"))</f>
        <v/>
      </c>
      <c r="J543" s="9" t="str">
        <f>IF(H543="","",IF(I543="já",H543-Stillingar!$B$3,H543))</f>
        <v/>
      </c>
      <c r="N543" s="10"/>
      <c r="P543" s="10"/>
      <c r="S543" s="10"/>
      <c r="U543" s="11"/>
    </row>
    <row r="544" spans="8:21" x14ac:dyDescent="0.2">
      <c r="H544" s="7"/>
      <c r="I544" s="8" t="str">
        <f>IF(H544="","",IF(AND(OR(K544="rafmagn",K544="vetni"),H544&lt;Stillingar!$B$2),"já","nei"))</f>
        <v/>
      </c>
      <c r="J544" s="9" t="str">
        <f>IF(H544="","",IF(I544="já",H544-Stillingar!$B$3,H544))</f>
        <v/>
      </c>
      <c r="N544" s="10"/>
      <c r="P544" s="10"/>
      <c r="S544" s="10"/>
      <c r="U544" s="11"/>
    </row>
    <row r="545" spans="8:21" x14ac:dyDescent="0.2">
      <c r="H545" s="7"/>
      <c r="I545" s="8" t="str">
        <f>IF(H545="","",IF(AND(OR(K545="rafmagn",K545="vetni"),H545&lt;Stillingar!$B$2),"já","nei"))</f>
        <v/>
      </c>
      <c r="J545" s="9" t="str">
        <f>IF(H545="","",IF(I545="já",H545-Stillingar!$B$3,H545))</f>
        <v/>
      </c>
      <c r="N545" s="10"/>
      <c r="P545" s="10"/>
      <c r="S545" s="10"/>
      <c r="U545" s="11"/>
    </row>
    <row r="546" spans="8:21" x14ac:dyDescent="0.2">
      <c r="H546" s="7"/>
      <c r="I546" s="8" t="str">
        <f>IF(H546="","",IF(AND(OR(K546="rafmagn",K546="vetni"),H546&lt;Stillingar!$B$2),"já","nei"))</f>
        <v/>
      </c>
      <c r="J546" s="9" t="str">
        <f>IF(H546="","",IF(I546="já",H546-Stillingar!$B$3,H546))</f>
        <v/>
      </c>
      <c r="N546" s="10"/>
      <c r="P546" s="10"/>
      <c r="S546" s="10"/>
      <c r="U546" s="11"/>
    </row>
    <row r="547" spans="8:21" x14ac:dyDescent="0.2">
      <c r="H547" s="7"/>
      <c r="I547" s="8" t="str">
        <f>IF(H547="","",IF(AND(OR(K547="rafmagn",K547="vetni"),H547&lt;Stillingar!$B$2),"já","nei"))</f>
        <v/>
      </c>
      <c r="J547" s="9" t="str">
        <f>IF(H547="","",IF(I547="já",H547-Stillingar!$B$3,H547))</f>
        <v/>
      </c>
      <c r="N547" s="10"/>
      <c r="P547" s="10"/>
      <c r="S547" s="10"/>
      <c r="U547" s="11"/>
    </row>
    <row r="548" spans="8:21" x14ac:dyDescent="0.2">
      <c r="H548" s="7"/>
      <c r="I548" s="8" t="str">
        <f>IF(H548="","",IF(AND(OR(K548="rafmagn",K548="vetni"),H548&lt;Stillingar!$B$2),"já","nei"))</f>
        <v/>
      </c>
      <c r="J548" s="9" t="str">
        <f>IF(H548="","",IF(I548="já",H548-Stillingar!$B$3,H548))</f>
        <v/>
      </c>
      <c r="N548" s="10"/>
      <c r="P548" s="10"/>
      <c r="S548" s="10"/>
      <c r="U548" s="11"/>
    </row>
    <row r="549" spans="8:21" x14ac:dyDescent="0.2">
      <c r="H549" s="7"/>
      <c r="I549" s="8" t="str">
        <f>IF(H549="","",IF(AND(OR(K549="rafmagn",K549="vetni"),H549&lt;Stillingar!$B$2),"já","nei"))</f>
        <v/>
      </c>
      <c r="J549" s="9" t="str">
        <f>IF(H549="","",IF(I549="já",H549-Stillingar!$B$3,H549))</f>
        <v/>
      </c>
      <c r="N549" s="10"/>
      <c r="P549" s="10"/>
      <c r="S549" s="10"/>
      <c r="U549" s="11"/>
    </row>
    <row r="550" spans="8:21" x14ac:dyDescent="0.2">
      <c r="H550" s="7"/>
      <c r="I550" s="8" t="str">
        <f>IF(H550="","",IF(AND(OR(K550="rafmagn",K550="vetni"),H550&lt;Stillingar!$B$2),"já","nei"))</f>
        <v/>
      </c>
      <c r="J550" s="9" t="str">
        <f>IF(H550="","",IF(I550="já",H550-Stillingar!$B$3,H550))</f>
        <v/>
      </c>
      <c r="N550" s="10"/>
      <c r="P550" s="10"/>
      <c r="S550" s="10"/>
      <c r="U550" s="11"/>
    </row>
    <row r="551" spans="8:21" x14ac:dyDescent="0.2">
      <c r="H551" s="7"/>
      <c r="I551" s="8" t="str">
        <f>IF(H551="","",IF(AND(OR(K551="rafmagn",K551="vetni"),H551&lt;Stillingar!$B$2),"já","nei"))</f>
        <v/>
      </c>
      <c r="J551" s="9" t="str">
        <f>IF(H551="","",IF(I551="já",H551-Stillingar!$B$3,H551))</f>
        <v/>
      </c>
      <c r="N551" s="10"/>
      <c r="P551" s="10"/>
      <c r="S551" s="10"/>
      <c r="U551" s="11"/>
    </row>
    <row r="552" spans="8:21" x14ac:dyDescent="0.2">
      <c r="H552" s="7"/>
      <c r="I552" s="8" t="str">
        <f>IF(H552="","",IF(AND(OR(K552="rafmagn",K552="vetni"),H552&lt;Stillingar!$B$2),"já","nei"))</f>
        <v/>
      </c>
      <c r="J552" s="9" t="str">
        <f>IF(H552="","",IF(I552="já",H552-Stillingar!$B$3,H552))</f>
        <v/>
      </c>
      <c r="N552" s="10"/>
      <c r="P552" s="10"/>
      <c r="S552" s="10"/>
      <c r="U552" s="11"/>
    </row>
    <row r="553" spans="8:21" x14ac:dyDescent="0.2">
      <c r="H553" s="7"/>
      <c r="I553" s="8" t="str">
        <f>IF(H553="","",IF(AND(OR(K553="rafmagn",K553="vetni"),H553&lt;Stillingar!$B$2),"já","nei"))</f>
        <v/>
      </c>
      <c r="J553" s="9" t="str">
        <f>IF(H553="","",IF(I553="já",H553-Stillingar!$B$3,H553))</f>
        <v/>
      </c>
      <c r="N553" s="10"/>
      <c r="P553" s="10"/>
      <c r="S553" s="10"/>
      <c r="U553" s="11"/>
    </row>
    <row r="554" spans="8:21" x14ac:dyDescent="0.2">
      <c r="H554" s="7"/>
      <c r="I554" s="8" t="str">
        <f>IF(H554="","",IF(AND(OR(K554="rafmagn",K554="vetni"),H554&lt;Stillingar!$B$2),"já","nei"))</f>
        <v/>
      </c>
      <c r="J554" s="9" t="str">
        <f>IF(H554="","",IF(I554="já",H554-Stillingar!$B$3,H554))</f>
        <v/>
      </c>
      <c r="N554" s="10"/>
      <c r="P554" s="10"/>
      <c r="S554" s="10"/>
      <c r="U554" s="11"/>
    </row>
    <row r="555" spans="8:21" x14ac:dyDescent="0.2">
      <c r="H555" s="7"/>
      <c r="I555" s="8" t="str">
        <f>IF(H555="","",IF(AND(OR(K555="rafmagn",K555="vetni"),H555&lt;Stillingar!$B$2),"já","nei"))</f>
        <v/>
      </c>
      <c r="J555" s="9" t="str">
        <f>IF(H555="","",IF(I555="já",H555-Stillingar!$B$3,H555))</f>
        <v/>
      </c>
      <c r="N555" s="10"/>
      <c r="P555" s="10"/>
      <c r="S555" s="10"/>
      <c r="U555" s="11"/>
    </row>
    <row r="556" spans="8:21" x14ac:dyDescent="0.2">
      <c r="H556" s="7"/>
      <c r="I556" s="8" t="str">
        <f>IF(H556="","",IF(AND(OR(K556="rafmagn",K556="vetni"),H556&lt;Stillingar!$B$2),"já","nei"))</f>
        <v/>
      </c>
      <c r="J556" s="9" t="str">
        <f>IF(H556="","",IF(I556="já",H556-Stillingar!$B$3,H556))</f>
        <v/>
      </c>
      <c r="N556" s="10"/>
      <c r="P556" s="10"/>
      <c r="S556" s="10"/>
      <c r="U556" s="11"/>
    </row>
    <row r="557" spans="8:21" x14ac:dyDescent="0.2">
      <c r="H557" s="7"/>
      <c r="I557" s="8" t="str">
        <f>IF(H557="","",IF(AND(OR(K557="rafmagn",K557="vetni"),H557&lt;Stillingar!$B$2),"já","nei"))</f>
        <v/>
      </c>
      <c r="J557" s="9" t="str">
        <f>IF(H557="","",IF(I557="já",H557-Stillingar!$B$3,H557))</f>
        <v/>
      </c>
      <c r="N557" s="10"/>
      <c r="P557" s="10"/>
      <c r="S557" s="10"/>
      <c r="U557" s="11"/>
    </row>
    <row r="558" spans="8:21" x14ac:dyDescent="0.2">
      <c r="H558" s="7"/>
      <c r="I558" s="8" t="str">
        <f>IF(H558="","",IF(AND(OR(K558="rafmagn",K558="vetni"),H558&lt;Stillingar!$B$2),"já","nei"))</f>
        <v/>
      </c>
      <c r="J558" s="9" t="str">
        <f>IF(H558="","",IF(I558="já",H558-Stillingar!$B$3,H558))</f>
        <v/>
      </c>
      <c r="N558" s="10"/>
      <c r="P558" s="10"/>
      <c r="S558" s="10"/>
      <c r="U558" s="11"/>
    </row>
    <row r="559" spans="8:21" x14ac:dyDescent="0.2">
      <c r="H559" s="7"/>
      <c r="I559" s="8" t="str">
        <f>IF(H559="","",IF(AND(OR(K559="rafmagn",K559="vetni"),H559&lt;Stillingar!$B$2),"já","nei"))</f>
        <v/>
      </c>
      <c r="J559" s="9" t="str">
        <f>IF(H559="","",IF(I559="já",H559-Stillingar!$B$3,H559))</f>
        <v/>
      </c>
      <c r="N559" s="10"/>
      <c r="P559" s="10"/>
      <c r="S559" s="10"/>
      <c r="U559" s="11"/>
    </row>
    <row r="560" spans="8:21" x14ac:dyDescent="0.2">
      <c r="H560" s="7"/>
      <c r="I560" s="8" t="str">
        <f>IF(H560="","",IF(AND(OR(K560="rafmagn",K560="vetni"),H560&lt;Stillingar!$B$2),"já","nei"))</f>
        <v/>
      </c>
      <c r="J560" s="9" t="str">
        <f>IF(H560="","",IF(I560="já",H560-Stillingar!$B$3,H560))</f>
        <v/>
      </c>
      <c r="N560" s="10"/>
      <c r="P560" s="10"/>
      <c r="S560" s="10"/>
      <c r="U560" s="11"/>
    </row>
    <row r="561" spans="8:21" x14ac:dyDescent="0.2">
      <c r="H561" s="7"/>
      <c r="I561" s="8" t="str">
        <f>IF(H561="","",IF(AND(OR(K561="rafmagn",K561="vetni"),H561&lt;Stillingar!$B$2),"já","nei"))</f>
        <v/>
      </c>
      <c r="J561" s="9" t="str">
        <f>IF(H561="","",IF(I561="já",H561-Stillingar!$B$3,H561))</f>
        <v/>
      </c>
      <c r="N561" s="10"/>
      <c r="P561" s="10"/>
      <c r="S561" s="10"/>
      <c r="U561" s="11"/>
    </row>
    <row r="562" spans="8:21" x14ac:dyDescent="0.2">
      <c r="H562" s="7"/>
      <c r="I562" s="8" t="str">
        <f>IF(H562="","",IF(AND(OR(K562="rafmagn",K562="vetni"),H562&lt;Stillingar!$B$2),"já","nei"))</f>
        <v/>
      </c>
      <c r="J562" s="9" t="str">
        <f>IF(H562="","",IF(I562="já",H562-Stillingar!$B$3,H562))</f>
        <v/>
      </c>
      <c r="N562" s="10"/>
      <c r="P562" s="10"/>
      <c r="S562" s="10"/>
      <c r="U562" s="11"/>
    </row>
    <row r="563" spans="8:21" x14ac:dyDescent="0.2">
      <c r="H563" s="7"/>
      <c r="I563" s="8" t="str">
        <f>IF(H563="","",IF(AND(OR(K563="rafmagn",K563="vetni"),H563&lt;Stillingar!$B$2),"já","nei"))</f>
        <v/>
      </c>
      <c r="J563" s="9" t="str">
        <f>IF(H563="","",IF(I563="já",H563-Stillingar!$B$3,H563))</f>
        <v/>
      </c>
      <c r="N563" s="10"/>
      <c r="P563" s="10"/>
      <c r="S563" s="10"/>
      <c r="U563" s="11"/>
    </row>
    <row r="564" spans="8:21" x14ac:dyDescent="0.2">
      <c r="H564" s="7"/>
      <c r="I564" s="8" t="str">
        <f>IF(H564="","",IF(AND(OR(K564="rafmagn",K564="vetni"),H564&lt;Stillingar!$B$2),"já","nei"))</f>
        <v/>
      </c>
      <c r="J564" s="9" t="str">
        <f>IF(H564="","",IF(I564="já",H564-Stillingar!$B$3,H564))</f>
        <v/>
      </c>
      <c r="N564" s="10"/>
      <c r="P564" s="10"/>
      <c r="S564" s="10"/>
      <c r="U564" s="11"/>
    </row>
    <row r="565" spans="8:21" x14ac:dyDescent="0.2">
      <c r="H565" s="7"/>
      <c r="I565" s="8" t="str">
        <f>IF(H565="","",IF(AND(OR(K565="rafmagn",K565="vetni"),H565&lt;Stillingar!$B$2),"já","nei"))</f>
        <v/>
      </c>
      <c r="J565" s="9" t="str">
        <f>IF(H565="","",IF(I565="já",H565-Stillingar!$B$3,H565))</f>
        <v/>
      </c>
      <c r="N565" s="10"/>
      <c r="P565" s="10"/>
      <c r="S565" s="10"/>
      <c r="U565" s="11"/>
    </row>
    <row r="566" spans="8:21" x14ac:dyDescent="0.2">
      <c r="H566" s="7"/>
      <c r="I566" s="8" t="str">
        <f>IF(H566="","",IF(AND(OR(K566="rafmagn",K566="vetni"),H566&lt;Stillingar!$B$2),"já","nei"))</f>
        <v/>
      </c>
      <c r="J566" s="9" t="str">
        <f>IF(H566="","",IF(I566="já",H566-Stillingar!$B$3,H566))</f>
        <v/>
      </c>
      <c r="N566" s="10"/>
      <c r="P566" s="10"/>
      <c r="S566" s="10"/>
      <c r="U566" s="11"/>
    </row>
    <row r="567" spans="8:21" x14ac:dyDescent="0.2">
      <c r="H567" s="7"/>
      <c r="I567" s="8" t="str">
        <f>IF(H567="","",IF(AND(OR(K567="rafmagn",K567="vetni"),H567&lt;Stillingar!$B$2),"já","nei"))</f>
        <v/>
      </c>
      <c r="J567" s="9" t="str">
        <f>IF(H567="","",IF(I567="já",H567-Stillingar!$B$3,H567))</f>
        <v/>
      </c>
      <c r="N567" s="10"/>
      <c r="P567" s="10"/>
      <c r="S567" s="10"/>
      <c r="U567" s="11"/>
    </row>
    <row r="568" spans="8:21" x14ac:dyDescent="0.2">
      <c r="H568" s="7"/>
      <c r="I568" s="8" t="str">
        <f>IF(H568="","",IF(AND(OR(K568="rafmagn",K568="vetni"),H568&lt;Stillingar!$B$2),"já","nei"))</f>
        <v/>
      </c>
      <c r="J568" s="9" t="str">
        <f>IF(H568="","",IF(I568="já",H568-Stillingar!$B$3,H568))</f>
        <v/>
      </c>
      <c r="N568" s="10"/>
      <c r="P568" s="10"/>
      <c r="S568" s="10"/>
      <c r="U568" s="11"/>
    </row>
    <row r="569" spans="8:21" x14ac:dyDescent="0.2">
      <c r="H569" s="7"/>
      <c r="I569" s="8" t="str">
        <f>IF(H569="","",IF(AND(OR(K569="rafmagn",K569="vetni"),H569&lt;Stillingar!$B$2),"já","nei"))</f>
        <v/>
      </c>
      <c r="J569" s="9" t="str">
        <f>IF(H569="","",IF(I569="já",H569-Stillingar!$B$3,H569))</f>
        <v/>
      </c>
      <c r="N569" s="10"/>
      <c r="P569" s="10"/>
      <c r="S569" s="10"/>
      <c r="U569" s="11"/>
    </row>
    <row r="570" spans="8:21" x14ac:dyDescent="0.2">
      <c r="H570" s="7"/>
      <c r="I570" s="8" t="str">
        <f>IF(H570="","",IF(AND(OR(K570="rafmagn",K570="vetni"),H570&lt;Stillingar!$B$2),"já","nei"))</f>
        <v/>
      </c>
      <c r="J570" s="9" t="str">
        <f>IF(H570="","",IF(I570="já",H570-Stillingar!$B$3,H570))</f>
        <v/>
      </c>
      <c r="N570" s="10"/>
      <c r="P570" s="10"/>
      <c r="S570" s="10"/>
      <c r="U570" s="11"/>
    </row>
    <row r="571" spans="8:21" x14ac:dyDescent="0.2">
      <c r="H571" s="7"/>
      <c r="I571" s="8" t="str">
        <f>IF(H571="","",IF(AND(OR(K571="rafmagn",K571="vetni"),H571&lt;Stillingar!$B$2),"já","nei"))</f>
        <v/>
      </c>
      <c r="J571" s="9" t="str">
        <f>IF(H571="","",IF(I571="já",H571-Stillingar!$B$3,H571))</f>
        <v/>
      </c>
      <c r="N571" s="10"/>
      <c r="P571" s="10"/>
      <c r="S571" s="10"/>
      <c r="U571" s="11"/>
    </row>
    <row r="572" spans="8:21" x14ac:dyDescent="0.2">
      <c r="H572" s="7"/>
      <c r="I572" s="8" t="str">
        <f>IF(H572="","",IF(AND(OR(K572="rafmagn",K572="vetni"),H572&lt;Stillingar!$B$2),"já","nei"))</f>
        <v/>
      </c>
      <c r="J572" s="9" t="str">
        <f>IF(H572="","",IF(I572="já",H572-Stillingar!$B$3,H572))</f>
        <v/>
      </c>
      <c r="N572" s="10"/>
      <c r="P572" s="10"/>
      <c r="S572" s="10"/>
      <c r="U572" s="11"/>
    </row>
    <row r="573" spans="8:21" x14ac:dyDescent="0.2">
      <c r="H573" s="7"/>
      <c r="I573" s="8" t="str">
        <f>IF(H573="","",IF(AND(OR(K573="rafmagn",K573="vetni"),H573&lt;Stillingar!$B$2),"já","nei"))</f>
        <v/>
      </c>
      <c r="J573" s="9" t="str">
        <f>IF(H573="","",IF(I573="já",H573-Stillingar!$B$3,H573))</f>
        <v/>
      </c>
      <c r="N573" s="10"/>
      <c r="P573" s="10"/>
      <c r="S573" s="10"/>
      <c r="U573" s="11"/>
    </row>
    <row r="574" spans="8:21" x14ac:dyDescent="0.2">
      <c r="H574" s="7"/>
      <c r="I574" s="8" t="str">
        <f>IF(H574="","",IF(AND(OR(K574="rafmagn",K574="vetni"),H574&lt;Stillingar!$B$2),"já","nei"))</f>
        <v/>
      </c>
      <c r="J574" s="9" t="str">
        <f>IF(H574="","",IF(I574="já",H574-Stillingar!$B$3,H574))</f>
        <v/>
      </c>
      <c r="N574" s="10"/>
      <c r="P574" s="10"/>
      <c r="S574" s="10"/>
      <c r="U574" s="11"/>
    </row>
    <row r="575" spans="8:21" x14ac:dyDescent="0.2">
      <c r="H575" s="7"/>
      <c r="I575" s="8" t="str">
        <f>IF(H575="","",IF(AND(OR(K575="rafmagn",K575="vetni"),H575&lt;Stillingar!$B$2),"já","nei"))</f>
        <v/>
      </c>
      <c r="J575" s="9" t="str">
        <f>IF(H575="","",IF(I575="já",H575-Stillingar!$B$3,H575))</f>
        <v/>
      </c>
      <c r="N575" s="10"/>
      <c r="P575" s="10"/>
      <c r="S575" s="10"/>
      <c r="U575" s="11"/>
    </row>
    <row r="576" spans="8:21" x14ac:dyDescent="0.2">
      <c r="H576" s="7"/>
      <c r="I576" s="8" t="str">
        <f>IF(H576="","",IF(AND(OR(K576="rafmagn",K576="vetni"),H576&lt;Stillingar!$B$2),"já","nei"))</f>
        <v/>
      </c>
      <c r="J576" s="9" t="str">
        <f>IF(H576="","",IF(I576="já",H576-Stillingar!$B$3,H576))</f>
        <v/>
      </c>
      <c r="N576" s="10"/>
      <c r="P576" s="10"/>
      <c r="S576" s="10"/>
      <c r="U576" s="11"/>
    </row>
    <row r="577" spans="8:21" x14ac:dyDescent="0.2">
      <c r="H577" s="7"/>
      <c r="I577" s="8" t="str">
        <f>IF(H577="","",IF(AND(OR(K577="rafmagn",K577="vetni"),H577&lt;Stillingar!$B$2),"já","nei"))</f>
        <v/>
      </c>
      <c r="J577" s="9" t="str">
        <f>IF(H577="","",IF(I577="já",H577-Stillingar!$B$3,H577))</f>
        <v/>
      </c>
      <c r="N577" s="10"/>
      <c r="P577" s="10"/>
      <c r="S577" s="10"/>
      <c r="U577" s="11"/>
    </row>
    <row r="578" spans="8:21" x14ac:dyDescent="0.2">
      <c r="H578" s="7"/>
      <c r="I578" s="8" t="str">
        <f>IF(H578="","",IF(AND(OR(K578="rafmagn",K578="vetni"),H578&lt;Stillingar!$B$2),"já","nei"))</f>
        <v/>
      </c>
      <c r="J578" s="9" t="str">
        <f>IF(H578="","",IF(I578="já",H578-Stillingar!$B$3,H578))</f>
        <v/>
      </c>
      <c r="N578" s="10"/>
      <c r="P578" s="10"/>
      <c r="S578" s="10"/>
      <c r="U578" s="11"/>
    </row>
    <row r="579" spans="8:21" x14ac:dyDescent="0.2">
      <c r="H579" s="7"/>
      <c r="I579" s="8" t="str">
        <f>IF(H579="","",IF(AND(OR(K579="rafmagn",K579="vetni"),H579&lt;Stillingar!$B$2),"já","nei"))</f>
        <v/>
      </c>
      <c r="J579" s="9" t="str">
        <f>IF(H579="","",IF(I579="já",H579-Stillingar!$B$3,H579))</f>
        <v/>
      </c>
      <c r="N579" s="10"/>
      <c r="P579" s="10"/>
      <c r="S579" s="10"/>
      <c r="U579" s="11"/>
    </row>
    <row r="580" spans="8:21" x14ac:dyDescent="0.2">
      <c r="H580" s="7"/>
      <c r="I580" s="8" t="str">
        <f>IF(H580="","",IF(AND(OR(K580="rafmagn",K580="vetni"),H580&lt;Stillingar!$B$2),"já","nei"))</f>
        <v/>
      </c>
      <c r="J580" s="9" t="str">
        <f>IF(H580="","",IF(I580="já",H580-Stillingar!$B$3,H580))</f>
        <v/>
      </c>
      <c r="N580" s="10"/>
      <c r="P580" s="10"/>
      <c r="S580" s="10"/>
      <c r="U580" s="11"/>
    </row>
    <row r="581" spans="8:21" x14ac:dyDescent="0.2">
      <c r="H581" s="7"/>
      <c r="I581" s="8" t="str">
        <f>IF(H581="","",IF(AND(OR(K581="rafmagn",K581="vetni"),H581&lt;Stillingar!$B$2),"já","nei"))</f>
        <v/>
      </c>
      <c r="J581" s="9" t="str">
        <f>IF(H581="","",IF(I581="já",H581-Stillingar!$B$3,H581))</f>
        <v/>
      </c>
      <c r="N581" s="10"/>
      <c r="P581" s="10"/>
      <c r="S581" s="10"/>
      <c r="U581" s="11"/>
    </row>
    <row r="582" spans="8:21" x14ac:dyDescent="0.2">
      <c r="H582" s="7"/>
      <c r="I582" s="8" t="str">
        <f>IF(H582="","",IF(AND(OR(K582="rafmagn",K582="vetni"),H582&lt;Stillingar!$B$2),"já","nei"))</f>
        <v/>
      </c>
      <c r="J582" s="9" t="str">
        <f>IF(H582="","",IF(I582="já",H582-Stillingar!$B$3,H582))</f>
        <v/>
      </c>
      <c r="N582" s="10"/>
      <c r="P582" s="10"/>
      <c r="S582" s="10"/>
      <c r="U582" s="11"/>
    </row>
    <row r="583" spans="8:21" x14ac:dyDescent="0.2">
      <c r="H583" s="7"/>
      <c r="I583" s="8" t="str">
        <f>IF(H583="","",IF(AND(OR(K583="rafmagn",K583="vetni"),H583&lt;Stillingar!$B$2),"já","nei"))</f>
        <v/>
      </c>
      <c r="J583" s="9" t="str">
        <f>IF(H583="","",IF(I583="já",H583-Stillingar!$B$3,H583))</f>
        <v/>
      </c>
      <c r="N583" s="10"/>
      <c r="P583" s="10"/>
      <c r="S583" s="10"/>
      <c r="U583" s="11"/>
    </row>
    <row r="584" spans="8:21" x14ac:dyDescent="0.2">
      <c r="H584" s="7"/>
      <c r="I584" s="8" t="str">
        <f>IF(H584="","",IF(AND(OR(K584="rafmagn",K584="vetni"),H584&lt;Stillingar!$B$2),"já","nei"))</f>
        <v/>
      </c>
      <c r="J584" s="9" t="str">
        <f>IF(H584="","",IF(I584="já",H584-Stillingar!$B$3,H584))</f>
        <v/>
      </c>
      <c r="N584" s="10"/>
      <c r="P584" s="10"/>
      <c r="S584" s="10"/>
      <c r="U584" s="11"/>
    </row>
    <row r="585" spans="8:21" x14ac:dyDescent="0.2">
      <c r="H585" s="7"/>
      <c r="I585" s="8" t="str">
        <f>IF(H585="","",IF(AND(OR(K585="rafmagn",K585="vetni"),H585&lt;Stillingar!$B$2),"já","nei"))</f>
        <v/>
      </c>
      <c r="J585" s="9" t="str">
        <f>IF(H585="","",IF(I585="já",H585-Stillingar!$B$3,H585))</f>
        <v/>
      </c>
      <c r="N585" s="10"/>
      <c r="P585" s="10"/>
      <c r="S585" s="10"/>
      <c r="U585" s="11"/>
    </row>
    <row r="586" spans="8:21" x14ac:dyDescent="0.2">
      <c r="H586" s="7"/>
      <c r="I586" s="8" t="str">
        <f>IF(H586="","",IF(AND(OR(K586="rafmagn",K586="vetni"),H586&lt;Stillingar!$B$2),"já","nei"))</f>
        <v/>
      </c>
      <c r="J586" s="9" t="str">
        <f>IF(H586="","",IF(I586="já",H586-Stillingar!$B$3,H586))</f>
        <v/>
      </c>
      <c r="N586" s="10"/>
      <c r="P586" s="10"/>
      <c r="S586" s="10"/>
      <c r="U586" s="11"/>
    </row>
    <row r="587" spans="8:21" x14ac:dyDescent="0.2">
      <c r="H587" s="7"/>
      <c r="I587" s="8" t="str">
        <f>IF(H587="","",IF(AND(OR(K587="rafmagn",K587="vetni"),H587&lt;Stillingar!$B$2),"já","nei"))</f>
        <v/>
      </c>
      <c r="J587" s="9" t="str">
        <f>IF(H587="","",IF(I587="já",H587-Stillingar!$B$3,H587))</f>
        <v/>
      </c>
      <c r="N587" s="10"/>
      <c r="P587" s="10"/>
      <c r="S587" s="10"/>
      <c r="U587" s="11"/>
    </row>
    <row r="588" spans="8:21" x14ac:dyDescent="0.2">
      <c r="H588" s="7"/>
      <c r="I588" s="8" t="str">
        <f>IF(H588="","",IF(AND(OR(K588="rafmagn",K588="vetni"),H588&lt;Stillingar!$B$2),"já","nei"))</f>
        <v/>
      </c>
      <c r="J588" s="9" t="str">
        <f>IF(H588="","",IF(I588="já",H588-Stillingar!$B$3,H588))</f>
        <v/>
      </c>
      <c r="N588" s="10"/>
      <c r="P588" s="10"/>
      <c r="S588" s="10"/>
      <c r="U588" s="11"/>
    </row>
    <row r="589" spans="8:21" x14ac:dyDescent="0.2">
      <c r="H589" s="7"/>
      <c r="I589" s="8" t="str">
        <f>IF(H589="","",IF(AND(OR(K589="rafmagn",K589="vetni"),H589&lt;Stillingar!$B$2),"já","nei"))</f>
        <v/>
      </c>
      <c r="J589" s="9" t="str">
        <f>IF(H589="","",IF(I589="já",H589-Stillingar!$B$3,H589))</f>
        <v/>
      </c>
      <c r="N589" s="10"/>
      <c r="P589" s="10"/>
      <c r="S589" s="10"/>
      <c r="U589" s="11"/>
    </row>
    <row r="590" spans="8:21" x14ac:dyDescent="0.2">
      <c r="H590" s="7"/>
      <c r="I590" s="8" t="str">
        <f>IF(H590="","",IF(AND(OR(K590="rafmagn",K590="vetni"),H590&lt;Stillingar!$B$2),"já","nei"))</f>
        <v/>
      </c>
      <c r="J590" s="9" t="str">
        <f>IF(H590="","",IF(I590="já",H590-Stillingar!$B$3,H590))</f>
        <v/>
      </c>
      <c r="N590" s="10"/>
      <c r="P590" s="10"/>
      <c r="S590" s="10"/>
      <c r="U590" s="11"/>
    </row>
    <row r="591" spans="8:21" x14ac:dyDescent="0.2">
      <c r="H591" s="7"/>
      <c r="I591" s="8" t="str">
        <f>IF(H591="","",IF(AND(OR(K591="rafmagn",K591="vetni"),H591&lt;Stillingar!$B$2),"já","nei"))</f>
        <v/>
      </c>
      <c r="J591" s="9" t="str">
        <f>IF(H591="","",IF(I591="já",H591-Stillingar!$B$3,H591))</f>
        <v/>
      </c>
      <c r="N591" s="10"/>
      <c r="P591" s="10"/>
      <c r="S591" s="10"/>
      <c r="U591" s="11"/>
    </row>
    <row r="592" spans="8:21" x14ac:dyDescent="0.2">
      <c r="H592" s="7"/>
      <c r="I592" s="8" t="str">
        <f>IF(H592="","",IF(AND(OR(K592="rafmagn",K592="vetni"),H592&lt;Stillingar!$B$2),"já","nei"))</f>
        <v/>
      </c>
      <c r="J592" s="9" t="str">
        <f>IF(H592="","",IF(I592="já",H592-Stillingar!$B$3,H592))</f>
        <v/>
      </c>
      <c r="N592" s="10"/>
      <c r="P592" s="10"/>
      <c r="S592" s="10"/>
      <c r="U592" s="11"/>
    </row>
    <row r="593" spans="8:21" x14ac:dyDescent="0.2">
      <c r="H593" s="7"/>
      <c r="I593" s="8" t="str">
        <f>IF(H593="","",IF(AND(OR(K593="rafmagn",K593="vetni"),H593&lt;Stillingar!$B$2),"já","nei"))</f>
        <v/>
      </c>
      <c r="J593" s="9" t="str">
        <f>IF(H593="","",IF(I593="já",H593-Stillingar!$B$3,H593))</f>
        <v/>
      </c>
      <c r="N593" s="10"/>
      <c r="P593" s="10"/>
      <c r="S593" s="10"/>
      <c r="U593" s="11"/>
    </row>
    <row r="594" spans="8:21" x14ac:dyDescent="0.2">
      <c r="H594" s="7"/>
      <c r="I594" s="8" t="str">
        <f>IF(H594="","",IF(AND(OR(K594="rafmagn",K594="vetni"),H594&lt;Stillingar!$B$2),"já","nei"))</f>
        <v/>
      </c>
      <c r="J594" s="9" t="str">
        <f>IF(H594="","",IF(I594="já",H594-Stillingar!$B$3,H594))</f>
        <v/>
      </c>
      <c r="N594" s="10"/>
      <c r="P594" s="10"/>
      <c r="S594" s="10"/>
      <c r="U594" s="11"/>
    </row>
    <row r="595" spans="8:21" x14ac:dyDescent="0.2">
      <c r="H595" s="7"/>
      <c r="I595" s="8" t="str">
        <f>IF(H595="","",IF(AND(OR(K595="rafmagn",K595="vetni"),H595&lt;Stillingar!$B$2),"já","nei"))</f>
        <v/>
      </c>
      <c r="J595" s="9" t="str">
        <f>IF(H595="","",IF(I595="já",H595-Stillingar!$B$3,H595))</f>
        <v/>
      </c>
      <c r="N595" s="10"/>
      <c r="P595" s="10"/>
      <c r="S595" s="10"/>
      <c r="U595" s="11"/>
    </row>
    <row r="596" spans="8:21" x14ac:dyDescent="0.2">
      <c r="H596" s="7"/>
      <c r="I596" s="8" t="str">
        <f>IF(H596="","",IF(AND(OR(K596="rafmagn",K596="vetni"),H596&lt;Stillingar!$B$2),"já","nei"))</f>
        <v/>
      </c>
      <c r="J596" s="9" t="str">
        <f>IF(H596="","",IF(I596="já",H596-Stillingar!$B$3,H596))</f>
        <v/>
      </c>
      <c r="N596" s="10"/>
      <c r="P596" s="10"/>
      <c r="S596" s="10"/>
      <c r="U596" s="11"/>
    </row>
    <row r="597" spans="8:21" x14ac:dyDescent="0.2">
      <c r="H597" s="7"/>
      <c r="I597" s="8" t="str">
        <f>IF(H597="","",IF(AND(OR(K597="rafmagn",K597="vetni"),H597&lt;Stillingar!$B$2),"já","nei"))</f>
        <v/>
      </c>
      <c r="J597" s="9" t="str">
        <f>IF(H597="","",IF(I597="já",H597-Stillingar!$B$3,H597))</f>
        <v/>
      </c>
      <c r="N597" s="10"/>
      <c r="P597" s="10"/>
      <c r="S597" s="10"/>
      <c r="U597" s="11"/>
    </row>
    <row r="598" spans="8:21" x14ac:dyDescent="0.2">
      <c r="H598" s="7"/>
      <c r="I598" s="8" t="str">
        <f>IF(H598="","",IF(AND(OR(K598="rafmagn",K598="vetni"),H598&lt;Stillingar!$B$2),"já","nei"))</f>
        <v/>
      </c>
      <c r="J598" s="9" t="str">
        <f>IF(H598="","",IF(I598="já",H598-Stillingar!$B$3,H598))</f>
        <v/>
      </c>
      <c r="N598" s="10"/>
      <c r="P598" s="10"/>
      <c r="S598" s="10"/>
      <c r="U598" s="11"/>
    </row>
    <row r="599" spans="8:21" x14ac:dyDescent="0.2">
      <c r="H599" s="7"/>
      <c r="I599" s="8" t="str">
        <f>IF(H599="","",IF(AND(OR(K599="rafmagn",K599="vetni"),H599&lt;Stillingar!$B$2),"já","nei"))</f>
        <v/>
      </c>
      <c r="J599" s="9" t="str">
        <f>IF(H599="","",IF(I599="já",H599-Stillingar!$B$3,H599))</f>
        <v/>
      </c>
      <c r="N599" s="10"/>
      <c r="P599" s="10"/>
      <c r="S599" s="10"/>
      <c r="U599" s="11"/>
    </row>
    <row r="600" spans="8:21" x14ac:dyDescent="0.2">
      <c r="H600" s="7"/>
      <c r="I600" s="8" t="str">
        <f>IF(H600="","",IF(AND(OR(K600="rafmagn",K600="vetni"),H600&lt;Stillingar!$B$2),"já","nei"))</f>
        <v/>
      </c>
      <c r="J600" s="9" t="str">
        <f>IF(H600="","",IF(I600="já",H600-Stillingar!$B$3,H600))</f>
        <v/>
      </c>
      <c r="N600" s="10"/>
      <c r="P600" s="10"/>
      <c r="S600" s="10"/>
      <c r="U600" s="11"/>
    </row>
    <row r="601" spans="8:21" x14ac:dyDescent="0.2">
      <c r="H601" s="7"/>
      <c r="I601" s="8" t="str">
        <f>IF(H601="","",IF(AND(OR(K601="rafmagn",K601="vetni"),H601&lt;Stillingar!$B$2),"já","nei"))</f>
        <v/>
      </c>
      <c r="J601" s="9" t="str">
        <f>IF(H601="","",IF(I601="já",H601-Stillingar!$B$3,H601))</f>
        <v/>
      </c>
      <c r="N601" s="10"/>
      <c r="P601" s="10"/>
      <c r="S601" s="10"/>
      <c r="U601" s="11"/>
    </row>
    <row r="602" spans="8:21" x14ac:dyDescent="0.2">
      <c r="H602" s="7"/>
      <c r="I602" s="8" t="str">
        <f>IF(H602="","",IF(AND(OR(K602="rafmagn",K602="vetni"),H602&lt;Stillingar!$B$2),"já","nei"))</f>
        <v/>
      </c>
      <c r="J602" s="9" t="str">
        <f>IF(H602="","",IF(I602="já",H602-Stillingar!$B$3,H602))</f>
        <v/>
      </c>
      <c r="N602" s="10"/>
      <c r="P602" s="10"/>
      <c r="S602" s="10"/>
      <c r="U602" s="11"/>
    </row>
    <row r="603" spans="8:21" x14ac:dyDescent="0.2">
      <c r="H603" s="7"/>
      <c r="I603" s="8" t="str">
        <f>IF(H603="","",IF(AND(OR(K603="rafmagn",K603="vetni"),H603&lt;Stillingar!$B$2),"já","nei"))</f>
        <v/>
      </c>
      <c r="J603" s="9" t="str">
        <f>IF(H603="","",IF(I603="já",H603-Stillingar!$B$3,H603))</f>
        <v/>
      </c>
      <c r="N603" s="10"/>
      <c r="P603" s="10"/>
      <c r="S603" s="10"/>
      <c r="U603" s="11"/>
    </row>
    <row r="604" spans="8:21" x14ac:dyDescent="0.2">
      <c r="H604" s="7"/>
      <c r="I604" s="8" t="str">
        <f>IF(H604="","",IF(AND(OR(K604="rafmagn",K604="vetni"),H604&lt;Stillingar!$B$2),"já","nei"))</f>
        <v/>
      </c>
      <c r="J604" s="9" t="str">
        <f>IF(H604="","",IF(I604="já",H604-Stillingar!$B$3,H604))</f>
        <v/>
      </c>
      <c r="N604" s="10"/>
      <c r="P604" s="10"/>
      <c r="S604" s="10"/>
      <c r="U604" s="11"/>
    </row>
    <row r="605" spans="8:21" x14ac:dyDescent="0.2">
      <c r="H605" s="7"/>
      <c r="I605" s="8" t="str">
        <f>IF(H605="","",IF(AND(OR(K605="rafmagn",K605="vetni"),H605&lt;Stillingar!$B$2),"já","nei"))</f>
        <v/>
      </c>
      <c r="J605" s="9" t="str">
        <f>IF(H605="","",IF(I605="já",H605-Stillingar!$B$3,H605))</f>
        <v/>
      </c>
      <c r="N605" s="10"/>
      <c r="P605" s="10"/>
      <c r="S605" s="10"/>
      <c r="U605" s="11"/>
    </row>
    <row r="606" spans="8:21" x14ac:dyDescent="0.2">
      <c r="H606" s="7"/>
      <c r="I606" s="8" t="str">
        <f>IF(H606="","",IF(AND(OR(K606="rafmagn",K606="vetni"),H606&lt;Stillingar!$B$2),"já","nei"))</f>
        <v/>
      </c>
      <c r="J606" s="9" t="str">
        <f>IF(H606="","",IF(I606="já",H606-Stillingar!$B$3,H606))</f>
        <v/>
      </c>
      <c r="N606" s="10"/>
      <c r="P606" s="10"/>
      <c r="S606" s="10"/>
      <c r="U606" s="11"/>
    </row>
    <row r="607" spans="8:21" x14ac:dyDescent="0.2">
      <c r="H607" s="7"/>
      <c r="I607" s="8" t="str">
        <f>IF(H607="","",IF(AND(OR(K607="rafmagn",K607="vetni"),H607&lt;Stillingar!$B$2),"já","nei"))</f>
        <v/>
      </c>
      <c r="J607" s="9" t="str">
        <f>IF(H607="","",IF(I607="já",H607-Stillingar!$B$3,H607))</f>
        <v/>
      </c>
      <c r="N607" s="10"/>
      <c r="P607" s="10"/>
      <c r="S607" s="10"/>
      <c r="U607" s="11"/>
    </row>
    <row r="608" spans="8:21" x14ac:dyDescent="0.2">
      <c r="H608" s="7"/>
      <c r="I608" s="8" t="str">
        <f>IF(H608="","",IF(AND(OR(K608="rafmagn",K608="vetni"),H608&lt;Stillingar!$B$2),"já","nei"))</f>
        <v/>
      </c>
      <c r="J608" s="9" t="str">
        <f>IF(H608="","",IF(I608="já",H608-Stillingar!$B$3,H608))</f>
        <v/>
      </c>
      <c r="N608" s="10"/>
      <c r="P608" s="10"/>
      <c r="S608" s="10"/>
      <c r="U608" s="11"/>
    </row>
    <row r="609" spans="8:21" x14ac:dyDescent="0.2">
      <c r="H609" s="7"/>
      <c r="I609" s="8" t="str">
        <f>IF(H609="","",IF(AND(OR(K609="rafmagn",K609="vetni"),H609&lt;Stillingar!$B$2),"já","nei"))</f>
        <v/>
      </c>
      <c r="J609" s="9" t="str">
        <f>IF(H609="","",IF(I609="já",H609-Stillingar!$B$3,H609))</f>
        <v/>
      </c>
      <c r="N609" s="10"/>
      <c r="P609" s="10"/>
      <c r="S609" s="10"/>
      <c r="U609" s="11"/>
    </row>
    <row r="610" spans="8:21" x14ac:dyDescent="0.2">
      <c r="H610" s="7"/>
      <c r="I610" s="8" t="str">
        <f>IF(H610="","",IF(AND(OR(K610="rafmagn",K610="vetni"),H610&lt;Stillingar!$B$2),"já","nei"))</f>
        <v/>
      </c>
      <c r="J610" s="9" t="str">
        <f>IF(H610="","",IF(I610="já",H610-Stillingar!$B$3,H610))</f>
        <v/>
      </c>
      <c r="N610" s="10"/>
      <c r="P610" s="10"/>
      <c r="S610" s="10"/>
      <c r="U610" s="11"/>
    </row>
    <row r="611" spans="8:21" x14ac:dyDescent="0.2">
      <c r="H611" s="7"/>
      <c r="I611" s="8" t="str">
        <f>IF(H611="","",IF(AND(OR(K611="rafmagn",K611="vetni"),H611&lt;Stillingar!$B$2),"já","nei"))</f>
        <v/>
      </c>
      <c r="J611" s="9" t="str">
        <f>IF(H611="","",IF(I611="já",H611-Stillingar!$B$3,H611))</f>
        <v/>
      </c>
      <c r="N611" s="10"/>
      <c r="P611" s="10"/>
      <c r="S611" s="10"/>
      <c r="U611" s="11"/>
    </row>
    <row r="612" spans="8:21" x14ac:dyDescent="0.2">
      <c r="H612" s="7"/>
      <c r="I612" s="8" t="str">
        <f>IF(H612="","",IF(AND(OR(K612="rafmagn",K612="vetni"),H612&lt;Stillingar!$B$2),"já","nei"))</f>
        <v/>
      </c>
      <c r="J612" s="9" t="str">
        <f>IF(H612="","",IF(I612="já",H612-Stillingar!$B$3,H612))</f>
        <v/>
      </c>
      <c r="N612" s="10"/>
      <c r="P612" s="10"/>
      <c r="S612" s="10"/>
      <c r="U612" s="11"/>
    </row>
    <row r="613" spans="8:21" x14ac:dyDescent="0.2">
      <c r="H613" s="7"/>
      <c r="I613" s="8" t="str">
        <f>IF(H613="","",IF(AND(OR(K613="rafmagn",K613="vetni"),H613&lt;Stillingar!$B$2),"já","nei"))</f>
        <v/>
      </c>
      <c r="J613" s="9" t="str">
        <f>IF(H613="","",IF(I613="já",H613-Stillingar!$B$3,H613))</f>
        <v/>
      </c>
      <c r="N613" s="10"/>
      <c r="P613" s="10"/>
      <c r="S613" s="10"/>
      <c r="U613" s="11"/>
    </row>
    <row r="614" spans="8:21" x14ac:dyDescent="0.2">
      <c r="H614" s="7"/>
      <c r="I614" s="8" t="str">
        <f>IF(H614="","",IF(AND(OR(K614="rafmagn",K614="vetni"),H614&lt;Stillingar!$B$2),"já","nei"))</f>
        <v/>
      </c>
      <c r="J614" s="9" t="str">
        <f>IF(H614="","",IF(I614="já",H614-Stillingar!$B$3,H614))</f>
        <v/>
      </c>
      <c r="N614" s="10"/>
      <c r="P614" s="10"/>
      <c r="S614" s="10"/>
      <c r="U614" s="11"/>
    </row>
    <row r="615" spans="8:21" x14ac:dyDescent="0.2">
      <c r="H615" s="7"/>
      <c r="I615" s="8" t="str">
        <f>IF(H615="","",IF(AND(OR(K615="rafmagn",K615="vetni"),H615&lt;Stillingar!$B$2),"já","nei"))</f>
        <v/>
      </c>
      <c r="J615" s="9" t="str">
        <f>IF(H615="","",IF(I615="já",H615-Stillingar!$B$3,H615))</f>
        <v/>
      </c>
      <c r="N615" s="10"/>
      <c r="P615" s="10"/>
      <c r="S615" s="10"/>
      <c r="U615" s="11"/>
    </row>
    <row r="616" spans="8:21" x14ac:dyDescent="0.2">
      <c r="H616" s="7"/>
      <c r="I616" s="8" t="str">
        <f>IF(H616="","",IF(AND(OR(K616="rafmagn",K616="vetni"),H616&lt;Stillingar!$B$2),"já","nei"))</f>
        <v/>
      </c>
      <c r="J616" s="9" t="str">
        <f>IF(H616="","",IF(I616="já",H616-Stillingar!$B$3,H616))</f>
        <v/>
      </c>
      <c r="N616" s="10"/>
      <c r="P616" s="10"/>
      <c r="S616" s="10"/>
      <c r="U616" s="11"/>
    </row>
    <row r="617" spans="8:21" x14ac:dyDescent="0.2">
      <c r="H617" s="7"/>
      <c r="I617" s="8" t="str">
        <f>IF(H617="","",IF(AND(OR(K617="rafmagn",K617="vetni"),H617&lt;Stillingar!$B$2),"já","nei"))</f>
        <v/>
      </c>
      <c r="J617" s="9" t="str">
        <f>IF(H617="","",IF(I617="já",H617-Stillingar!$B$3,H617))</f>
        <v/>
      </c>
      <c r="N617" s="10"/>
      <c r="P617" s="10"/>
      <c r="S617" s="10"/>
      <c r="U617" s="11"/>
    </row>
    <row r="618" spans="8:21" x14ac:dyDescent="0.2">
      <c r="H618" s="7"/>
      <c r="I618" s="8" t="str">
        <f>IF(H618="","",IF(AND(OR(K618="rafmagn",K618="vetni"),H618&lt;Stillingar!$B$2),"já","nei"))</f>
        <v/>
      </c>
      <c r="J618" s="9" t="str">
        <f>IF(H618="","",IF(I618="já",H618-Stillingar!$B$3,H618))</f>
        <v/>
      </c>
      <c r="N618" s="10"/>
      <c r="P618" s="10"/>
      <c r="S618" s="10"/>
      <c r="U618" s="11"/>
    </row>
    <row r="619" spans="8:21" x14ac:dyDescent="0.2">
      <c r="H619" s="7"/>
      <c r="I619" s="8" t="str">
        <f>IF(H619="","",IF(AND(OR(K619="rafmagn",K619="vetni"),H619&lt;Stillingar!$B$2),"já","nei"))</f>
        <v/>
      </c>
      <c r="J619" s="9" t="str">
        <f>IF(H619="","",IF(I619="já",H619-Stillingar!$B$3,H619))</f>
        <v/>
      </c>
      <c r="N619" s="10"/>
      <c r="P619" s="10"/>
      <c r="S619" s="10"/>
      <c r="U619" s="11"/>
    </row>
    <row r="620" spans="8:21" x14ac:dyDescent="0.2">
      <c r="H620" s="7"/>
      <c r="I620" s="8" t="str">
        <f>IF(H620="","",IF(AND(OR(K620="rafmagn",K620="vetni"),H620&lt;Stillingar!$B$2),"já","nei"))</f>
        <v/>
      </c>
      <c r="J620" s="9" t="str">
        <f>IF(H620="","",IF(I620="já",H620-Stillingar!$B$3,H620))</f>
        <v/>
      </c>
      <c r="N620" s="10"/>
      <c r="P620" s="10"/>
      <c r="S620" s="10"/>
      <c r="U620" s="11"/>
    </row>
    <row r="621" spans="8:21" x14ac:dyDescent="0.2">
      <c r="H621" s="7"/>
      <c r="I621" s="8" t="str">
        <f>IF(H621="","",IF(AND(OR(K621="rafmagn",K621="vetni"),H621&lt;Stillingar!$B$2),"já","nei"))</f>
        <v/>
      </c>
      <c r="J621" s="9" t="str">
        <f>IF(H621="","",IF(I621="já",H621-Stillingar!$B$3,H621))</f>
        <v/>
      </c>
      <c r="N621" s="10"/>
      <c r="P621" s="10"/>
      <c r="S621" s="10"/>
      <c r="U621" s="11"/>
    </row>
    <row r="622" spans="8:21" x14ac:dyDescent="0.2">
      <c r="H622" s="7"/>
      <c r="I622" s="8" t="str">
        <f>IF(H622="","",IF(AND(OR(K622="rafmagn",K622="vetni"),H622&lt;Stillingar!$B$2),"já","nei"))</f>
        <v/>
      </c>
      <c r="J622" s="9" t="str">
        <f>IF(H622="","",IF(I622="já",H622-Stillingar!$B$3,H622))</f>
        <v/>
      </c>
      <c r="N622" s="10"/>
      <c r="P622" s="10"/>
      <c r="S622" s="10"/>
      <c r="U622" s="11"/>
    </row>
    <row r="623" spans="8:21" x14ac:dyDescent="0.2">
      <c r="H623" s="7"/>
      <c r="I623" s="8" t="str">
        <f>IF(H623="","",IF(AND(OR(K623="rafmagn",K623="vetni"),H623&lt;Stillingar!$B$2),"já","nei"))</f>
        <v/>
      </c>
      <c r="J623" s="9" t="str">
        <f>IF(H623="","",IF(I623="já",H623-Stillingar!$B$3,H623))</f>
        <v/>
      </c>
      <c r="N623" s="10"/>
      <c r="P623" s="10"/>
      <c r="S623" s="10"/>
      <c r="U623" s="11"/>
    </row>
    <row r="624" spans="8:21" x14ac:dyDescent="0.2">
      <c r="H624" s="7"/>
      <c r="I624" s="8" t="str">
        <f>IF(H624="","",IF(AND(OR(K624="rafmagn",K624="vetni"),H624&lt;Stillingar!$B$2),"já","nei"))</f>
        <v/>
      </c>
      <c r="J624" s="9" t="str">
        <f>IF(H624="","",IF(I624="já",H624-Stillingar!$B$3,H624))</f>
        <v/>
      </c>
      <c r="N624" s="10"/>
      <c r="P624" s="10"/>
      <c r="S624" s="10"/>
      <c r="U624" s="11"/>
    </row>
    <row r="625" spans="8:21" x14ac:dyDescent="0.2">
      <c r="H625" s="7"/>
      <c r="I625" s="8" t="str">
        <f>IF(H625="","",IF(AND(OR(K625="rafmagn",K625="vetni"),H625&lt;Stillingar!$B$2),"já","nei"))</f>
        <v/>
      </c>
      <c r="J625" s="9" t="str">
        <f>IF(H625="","",IF(I625="já",H625-Stillingar!$B$3,H625))</f>
        <v/>
      </c>
      <c r="N625" s="10"/>
      <c r="P625" s="10"/>
      <c r="S625" s="10"/>
      <c r="U625" s="11"/>
    </row>
    <row r="626" spans="8:21" x14ac:dyDescent="0.2">
      <c r="H626" s="7"/>
      <c r="I626" s="8" t="str">
        <f>IF(H626="","",IF(AND(OR(K626="rafmagn",K626="vetni"),H626&lt;Stillingar!$B$2),"já","nei"))</f>
        <v/>
      </c>
      <c r="J626" s="9" t="str">
        <f>IF(H626="","",IF(I626="já",H626-Stillingar!$B$3,H626))</f>
        <v/>
      </c>
      <c r="N626" s="10"/>
      <c r="P626" s="10"/>
      <c r="S626" s="10"/>
      <c r="U626" s="11"/>
    </row>
    <row r="627" spans="8:21" x14ac:dyDescent="0.2">
      <c r="H627" s="7"/>
      <c r="I627" s="8" t="str">
        <f>IF(H627="","",IF(AND(OR(K627="rafmagn",K627="vetni"),H627&lt;Stillingar!$B$2),"já","nei"))</f>
        <v/>
      </c>
      <c r="J627" s="9" t="str">
        <f>IF(H627="","",IF(I627="já",H627-Stillingar!$B$3,H627))</f>
        <v/>
      </c>
      <c r="N627" s="10"/>
      <c r="P627" s="10"/>
      <c r="S627" s="10"/>
      <c r="U627" s="11"/>
    </row>
    <row r="628" spans="8:21" x14ac:dyDescent="0.2">
      <c r="H628" s="7"/>
      <c r="I628" s="8" t="str">
        <f>IF(H628="","",IF(AND(OR(K628="rafmagn",K628="vetni"),H628&lt;Stillingar!$B$2),"já","nei"))</f>
        <v/>
      </c>
      <c r="J628" s="9" t="str">
        <f>IF(H628="","",IF(I628="já",H628-Stillingar!$B$3,H628))</f>
        <v/>
      </c>
      <c r="N628" s="10"/>
      <c r="P628" s="10"/>
      <c r="S628" s="10"/>
      <c r="U628" s="11"/>
    </row>
    <row r="629" spans="8:21" x14ac:dyDescent="0.2">
      <c r="H629" s="7"/>
      <c r="I629" s="8" t="str">
        <f>IF(H629="","",IF(AND(OR(K629="rafmagn",K629="vetni"),H629&lt;Stillingar!$B$2),"já","nei"))</f>
        <v/>
      </c>
      <c r="J629" s="9" t="str">
        <f>IF(H629="","",IF(I629="já",H629-Stillingar!$B$3,H629))</f>
        <v/>
      </c>
      <c r="N629" s="10"/>
      <c r="P629" s="10"/>
      <c r="S629" s="10"/>
      <c r="U629" s="11"/>
    </row>
    <row r="630" spans="8:21" x14ac:dyDescent="0.2">
      <c r="H630" s="7"/>
      <c r="I630" s="8" t="str">
        <f>IF(H630="","",IF(AND(OR(K630="rafmagn",K630="vetni"),H630&lt;Stillingar!$B$2),"já","nei"))</f>
        <v/>
      </c>
      <c r="J630" s="9" t="str">
        <f>IF(H630="","",IF(I630="já",H630-Stillingar!$B$3,H630))</f>
        <v/>
      </c>
      <c r="N630" s="10"/>
      <c r="P630" s="10"/>
      <c r="S630" s="10"/>
      <c r="U630" s="11"/>
    </row>
    <row r="631" spans="8:21" x14ac:dyDescent="0.2">
      <c r="H631" s="7"/>
      <c r="I631" s="8" t="str">
        <f>IF(H631="","",IF(AND(OR(K631="rafmagn",K631="vetni"),H631&lt;Stillingar!$B$2),"já","nei"))</f>
        <v/>
      </c>
      <c r="J631" s="9" t="str">
        <f>IF(H631="","",IF(I631="já",H631-Stillingar!$B$3,H631))</f>
        <v/>
      </c>
      <c r="N631" s="10"/>
      <c r="P631" s="10"/>
      <c r="S631" s="10"/>
      <c r="U631" s="11"/>
    </row>
    <row r="632" spans="8:21" x14ac:dyDescent="0.2">
      <c r="H632" s="7"/>
      <c r="I632" s="8" t="str">
        <f>IF(H632="","",IF(AND(OR(K632="rafmagn",K632="vetni"),H632&lt;Stillingar!$B$2),"já","nei"))</f>
        <v/>
      </c>
      <c r="J632" s="9" t="str">
        <f>IF(H632="","",IF(I632="já",H632-Stillingar!$B$3,H632))</f>
        <v/>
      </c>
      <c r="N632" s="10"/>
      <c r="P632" s="10"/>
      <c r="S632" s="10"/>
      <c r="U632" s="11"/>
    </row>
    <row r="633" spans="8:21" x14ac:dyDescent="0.2">
      <c r="H633" s="7"/>
      <c r="I633" s="8" t="str">
        <f>IF(H633="","",IF(AND(OR(K633="rafmagn",K633="vetni"),H633&lt;Stillingar!$B$2),"já","nei"))</f>
        <v/>
      </c>
      <c r="J633" s="9" t="str">
        <f>IF(H633="","",IF(I633="já",H633-Stillingar!$B$3,H633))</f>
        <v/>
      </c>
      <c r="N633" s="10"/>
      <c r="P633" s="10"/>
      <c r="S633" s="10"/>
      <c r="U633" s="11"/>
    </row>
    <row r="634" spans="8:21" x14ac:dyDescent="0.2">
      <c r="H634" s="7"/>
      <c r="I634" s="8" t="str">
        <f>IF(H634="","",IF(AND(OR(K634="rafmagn",K634="vetni"),H634&lt;Stillingar!$B$2),"já","nei"))</f>
        <v/>
      </c>
      <c r="J634" s="9" t="str">
        <f>IF(H634="","",IF(I634="já",H634-Stillingar!$B$3,H634))</f>
        <v/>
      </c>
      <c r="N634" s="10"/>
      <c r="P634" s="10"/>
      <c r="S634" s="10"/>
      <c r="U634" s="11"/>
    </row>
    <row r="635" spans="8:21" x14ac:dyDescent="0.2">
      <c r="H635" s="7"/>
      <c r="I635" s="8" t="str">
        <f>IF(H635="","",IF(AND(OR(K635="rafmagn",K635="vetni"),H635&lt;Stillingar!$B$2),"já","nei"))</f>
        <v/>
      </c>
      <c r="J635" s="9" t="str">
        <f>IF(H635="","",IF(I635="já",H635-Stillingar!$B$3,H635))</f>
        <v/>
      </c>
      <c r="N635" s="10"/>
      <c r="P635" s="10"/>
      <c r="S635" s="10"/>
      <c r="U635" s="11"/>
    </row>
    <row r="636" spans="8:21" x14ac:dyDescent="0.2">
      <c r="H636" s="7"/>
      <c r="I636" s="8" t="str">
        <f>IF(H636="","",IF(AND(OR(K636="rafmagn",K636="vetni"),H636&lt;Stillingar!$B$2),"já","nei"))</f>
        <v/>
      </c>
      <c r="J636" s="9" t="str">
        <f>IF(H636="","",IF(I636="já",H636-Stillingar!$B$3,H636))</f>
        <v/>
      </c>
      <c r="N636" s="10"/>
      <c r="P636" s="10"/>
      <c r="S636" s="10"/>
      <c r="U636" s="11"/>
    </row>
    <row r="637" spans="8:21" x14ac:dyDescent="0.2">
      <c r="H637" s="7"/>
      <c r="I637" s="8" t="str">
        <f>IF(H637="","",IF(AND(OR(K637="rafmagn",K637="vetni"),H637&lt;Stillingar!$B$2),"já","nei"))</f>
        <v/>
      </c>
      <c r="J637" s="9" t="str">
        <f>IF(H637="","",IF(I637="já",H637-Stillingar!$B$3,H637))</f>
        <v/>
      </c>
      <c r="N637" s="10"/>
      <c r="P637" s="10"/>
      <c r="S637" s="10"/>
      <c r="U637" s="11"/>
    </row>
    <row r="638" spans="8:21" x14ac:dyDescent="0.2">
      <c r="H638" s="7"/>
      <c r="I638" s="8" t="str">
        <f>IF(H638="","",IF(AND(OR(K638="rafmagn",K638="vetni"),H638&lt;Stillingar!$B$2),"já","nei"))</f>
        <v/>
      </c>
      <c r="J638" s="9" t="str">
        <f>IF(H638="","",IF(I638="já",H638-Stillingar!$B$3,H638))</f>
        <v/>
      </c>
      <c r="N638" s="10"/>
      <c r="P638" s="10"/>
      <c r="S638" s="10"/>
      <c r="U638" s="11"/>
    </row>
    <row r="639" spans="8:21" x14ac:dyDescent="0.2">
      <c r="H639" s="7"/>
      <c r="I639" s="8" t="str">
        <f>IF(H639="","",IF(AND(OR(K639="rafmagn",K639="vetni"),H639&lt;Stillingar!$B$2),"já","nei"))</f>
        <v/>
      </c>
      <c r="J639" s="9" t="str">
        <f>IF(H639="","",IF(I639="já",H639-Stillingar!$B$3,H639))</f>
        <v/>
      </c>
      <c r="N639" s="10"/>
      <c r="P639" s="10"/>
      <c r="S639" s="10"/>
      <c r="U639" s="11"/>
    </row>
    <row r="640" spans="8:21" x14ac:dyDescent="0.2">
      <c r="H640" s="7"/>
      <c r="I640" s="8" t="str">
        <f>IF(H640="","",IF(AND(OR(K640="rafmagn",K640="vetni"),H640&lt;Stillingar!$B$2),"já","nei"))</f>
        <v/>
      </c>
      <c r="J640" s="9" t="str">
        <f>IF(H640="","",IF(I640="já",H640-Stillingar!$B$3,H640))</f>
        <v/>
      </c>
      <c r="N640" s="10"/>
      <c r="P640" s="10"/>
      <c r="S640" s="10"/>
      <c r="U640" s="11"/>
    </row>
    <row r="641" spans="8:21" x14ac:dyDescent="0.2">
      <c r="H641" s="7"/>
      <c r="I641" s="8" t="str">
        <f>IF(H641="","",IF(AND(OR(K641="rafmagn",K641="vetni"),H641&lt;Stillingar!$B$2),"já","nei"))</f>
        <v/>
      </c>
      <c r="J641" s="9" t="str">
        <f>IF(H641="","",IF(I641="já",H641-Stillingar!$B$3,H641))</f>
        <v/>
      </c>
      <c r="N641" s="10"/>
      <c r="P641" s="10"/>
      <c r="S641" s="10"/>
      <c r="U641" s="11"/>
    </row>
    <row r="642" spans="8:21" x14ac:dyDescent="0.2">
      <c r="H642" s="7"/>
      <c r="I642" s="8" t="str">
        <f>IF(H642="","",IF(AND(OR(K642="rafmagn",K642="vetni"),H642&lt;Stillingar!$B$2),"já","nei"))</f>
        <v/>
      </c>
      <c r="J642" s="9" t="str">
        <f>IF(H642="","",IF(I642="já",H642-Stillingar!$B$3,H642))</f>
        <v/>
      </c>
      <c r="N642" s="10"/>
      <c r="P642" s="10"/>
      <c r="S642" s="10"/>
      <c r="U642" s="11"/>
    </row>
    <row r="643" spans="8:21" x14ac:dyDescent="0.2">
      <c r="H643" s="7"/>
      <c r="I643" s="8" t="str">
        <f>IF(H643="","",IF(AND(OR(K643="rafmagn",K643="vetni"),H643&lt;Stillingar!$B$2),"já","nei"))</f>
        <v/>
      </c>
      <c r="J643" s="9" t="str">
        <f>IF(H643="","",IF(I643="já",H643-Stillingar!$B$3,H643))</f>
        <v/>
      </c>
      <c r="N643" s="10"/>
      <c r="P643" s="10"/>
      <c r="S643" s="10"/>
      <c r="U643" s="11"/>
    </row>
    <row r="644" spans="8:21" x14ac:dyDescent="0.2">
      <c r="H644" s="7"/>
      <c r="I644" s="8" t="str">
        <f>IF(H644="","",IF(AND(OR(K644="rafmagn",K644="vetni"),H644&lt;Stillingar!$B$2),"já","nei"))</f>
        <v/>
      </c>
      <c r="J644" s="9" t="str">
        <f>IF(H644="","",IF(I644="já",H644-Stillingar!$B$3,H644))</f>
        <v/>
      </c>
      <c r="N644" s="10"/>
      <c r="P644" s="10"/>
      <c r="S644" s="10"/>
      <c r="U644" s="11"/>
    </row>
    <row r="645" spans="8:21" x14ac:dyDescent="0.2">
      <c r="H645" s="7"/>
      <c r="I645" s="8" t="str">
        <f>IF(H645="","",IF(AND(OR(K645="rafmagn",K645="vetni"),H645&lt;Stillingar!$B$2),"já","nei"))</f>
        <v/>
      </c>
      <c r="J645" s="9" t="str">
        <f>IF(H645="","",IF(I645="já",H645-Stillingar!$B$3,H645))</f>
        <v/>
      </c>
      <c r="N645" s="10"/>
      <c r="P645" s="10"/>
      <c r="S645" s="10"/>
      <c r="U645" s="11"/>
    </row>
    <row r="646" spans="8:21" x14ac:dyDescent="0.2">
      <c r="H646" s="7"/>
      <c r="I646" s="8" t="str">
        <f>IF(H646="","",IF(AND(OR(K646="rafmagn",K646="vetni"),H646&lt;Stillingar!$B$2),"já","nei"))</f>
        <v/>
      </c>
      <c r="J646" s="9" t="str">
        <f>IF(H646="","",IF(I646="já",H646-Stillingar!$B$3,H646))</f>
        <v/>
      </c>
      <c r="N646" s="10"/>
      <c r="P646" s="10"/>
      <c r="S646" s="10"/>
      <c r="U646" s="11"/>
    </row>
    <row r="647" spans="8:21" x14ac:dyDescent="0.2">
      <c r="H647" s="7"/>
      <c r="I647" s="8" t="str">
        <f>IF(H647="","",IF(AND(OR(K647="rafmagn",K647="vetni"),H647&lt;Stillingar!$B$2),"já","nei"))</f>
        <v/>
      </c>
      <c r="J647" s="9" t="str">
        <f>IF(H647="","",IF(I647="já",H647-Stillingar!$B$3,H647))</f>
        <v/>
      </c>
      <c r="N647" s="10"/>
      <c r="P647" s="10"/>
      <c r="S647" s="10"/>
      <c r="U647" s="11"/>
    </row>
    <row r="648" spans="8:21" x14ac:dyDescent="0.2">
      <c r="H648" s="7"/>
      <c r="I648" s="8" t="str">
        <f>IF(H648="","",IF(AND(OR(K648="rafmagn",K648="vetni"),H648&lt;Stillingar!$B$2),"já","nei"))</f>
        <v/>
      </c>
      <c r="J648" s="9" t="str">
        <f>IF(H648="","",IF(I648="já",H648-Stillingar!$B$3,H648))</f>
        <v/>
      </c>
      <c r="N648" s="10"/>
      <c r="P648" s="10"/>
      <c r="S648" s="10"/>
      <c r="U648" s="11"/>
    </row>
    <row r="649" spans="8:21" x14ac:dyDescent="0.2">
      <c r="H649" s="7"/>
      <c r="I649" s="8" t="str">
        <f>IF(H649="","",IF(AND(OR(K649="rafmagn",K649="vetni"),H649&lt;Stillingar!$B$2),"já","nei"))</f>
        <v/>
      </c>
      <c r="J649" s="9" t="str">
        <f>IF(H649="","",IF(I649="já",H649-Stillingar!$B$3,H649))</f>
        <v/>
      </c>
      <c r="N649" s="10"/>
      <c r="P649" s="10"/>
      <c r="S649" s="10"/>
      <c r="U649" s="11"/>
    </row>
    <row r="650" spans="8:21" x14ac:dyDescent="0.2">
      <c r="H650" s="7"/>
      <c r="I650" s="8" t="str">
        <f>IF(H650="","",IF(AND(OR(K650="rafmagn",K650="vetni"),H650&lt;Stillingar!$B$2),"já","nei"))</f>
        <v/>
      </c>
      <c r="J650" s="9" t="str">
        <f>IF(H650="","",IF(I650="já",H650-Stillingar!$B$3,H650))</f>
        <v/>
      </c>
      <c r="N650" s="10"/>
      <c r="P650" s="10"/>
      <c r="S650" s="10"/>
      <c r="U650" s="11"/>
    </row>
    <row r="651" spans="8:21" x14ac:dyDescent="0.2">
      <c r="H651" s="7"/>
      <c r="I651" s="8" t="str">
        <f>IF(H651="","",IF(AND(OR(K651="rafmagn",K651="vetni"),H651&lt;Stillingar!$B$2),"já","nei"))</f>
        <v/>
      </c>
      <c r="J651" s="9" t="str">
        <f>IF(H651="","",IF(I651="já",H651-Stillingar!$B$3,H651))</f>
        <v/>
      </c>
      <c r="N651" s="10"/>
      <c r="P651" s="10"/>
      <c r="S651" s="10"/>
      <c r="U651" s="11"/>
    </row>
    <row r="652" spans="8:21" x14ac:dyDescent="0.2">
      <c r="H652" s="7"/>
      <c r="I652" s="8" t="str">
        <f>IF(H652="","",IF(AND(OR(K652="rafmagn",K652="vetni"),H652&lt;Stillingar!$B$2),"já","nei"))</f>
        <v/>
      </c>
      <c r="J652" s="9" t="str">
        <f>IF(H652="","",IF(I652="já",H652-Stillingar!$B$3,H652))</f>
        <v/>
      </c>
      <c r="N652" s="10"/>
      <c r="P652" s="10"/>
      <c r="S652" s="10"/>
      <c r="U652" s="11"/>
    </row>
    <row r="653" spans="8:21" x14ac:dyDescent="0.2">
      <c r="H653" s="7"/>
      <c r="I653" s="8" t="str">
        <f>IF(H653="","",IF(AND(OR(K653="rafmagn",K653="vetni"),H653&lt;Stillingar!$B$2),"já","nei"))</f>
        <v/>
      </c>
      <c r="J653" s="9" t="str">
        <f>IF(H653="","",IF(I653="já",H653-Stillingar!$B$3,H653))</f>
        <v/>
      </c>
      <c r="N653" s="10"/>
      <c r="P653" s="10"/>
      <c r="S653" s="10"/>
      <c r="U653" s="11"/>
    </row>
    <row r="654" spans="8:21" x14ac:dyDescent="0.2">
      <c r="H654" s="7"/>
      <c r="I654" s="8" t="str">
        <f>IF(H654="","",IF(AND(OR(K654="rafmagn",K654="vetni"),H654&lt;Stillingar!$B$2),"já","nei"))</f>
        <v/>
      </c>
      <c r="J654" s="9" t="str">
        <f>IF(H654="","",IF(I654="já",H654-Stillingar!$B$3,H654))</f>
        <v/>
      </c>
      <c r="N654" s="10"/>
      <c r="P654" s="10"/>
      <c r="S654" s="10"/>
      <c r="U654" s="11"/>
    </row>
    <row r="655" spans="8:21" x14ac:dyDescent="0.2">
      <c r="H655" s="7"/>
      <c r="I655" s="8" t="str">
        <f>IF(H655="","",IF(AND(OR(K655="rafmagn",K655="vetni"),H655&lt;Stillingar!$B$2),"já","nei"))</f>
        <v/>
      </c>
      <c r="J655" s="9" t="str">
        <f>IF(H655="","",IF(I655="já",H655-Stillingar!$B$3,H655))</f>
        <v/>
      </c>
      <c r="N655" s="10"/>
      <c r="P655" s="10"/>
      <c r="S655" s="10"/>
      <c r="U655" s="11"/>
    </row>
    <row r="656" spans="8:21" x14ac:dyDescent="0.2">
      <c r="H656" s="7"/>
      <c r="I656" s="8" t="str">
        <f>IF(H656="","",IF(AND(OR(K656="rafmagn",K656="vetni"),H656&lt;Stillingar!$B$2),"já","nei"))</f>
        <v/>
      </c>
      <c r="J656" s="9" t="str">
        <f>IF(H656="","",IF(I656="já",H656-Stillingar!$B$3,H656))</f>
        <v/>
      </c>
      <c r="N656" s="10"/>
      <c r="P656" s="10"/>
      <c r="S656" s="10"/>
      <c r="U656" s="11"/>
    </row>
    <row r="657" spans="8:21" x14ac:dyDescent="0.2">
      <c r="H657" s="7"/>
      <c r="I657" s="8" t="str">
        <f>IF(H657="","",IF(AND(OR(K657="rafmagn",K657="vetni"),H657&lt;Stillingar!$B$2),"já","nei"))</f>
        <v/>
      </c>
      <c r="J657" s="9" t="str">
        <f>IF(H657="","",IF(I657="já",H657-Stillingar!$B$3,H657))</f>
        <v/>
      </c>
      <c r="N657" s="10"/>
      <c r="P657" s="10"/>
      <c r="S657" s="10"/>
      <c r="U657" s="11"/>
    </row>
    <row r="658" spans="8:21" x14ac:dyDescent="0.2">
      <c r="H658" s="7"/>
      <c r="I658" s="8" t="str">
        <f>IF(H658="","",IF(AND(OR(K658="rafmagn",K658="vetni"),H658&lt;Stillingar!$B$2),"já","nei"))</f>
        <v/>
      </c>
      <c r="J658" s="9" t="str">
        <f>IF(H658="","",IF(I658="já",H658-Stillingar!$B$3,H658))</f>
        <v/>
      </c>
      <c r="N658" s="10"/>
      <c r="P658" s="10"/>
      <c r="S658" s="10"/>
      <c r="U658" s="11"/>
    </row>
    <row r="659" spans="8:21" x14ac:dyDescent="0.2">
      <c r="H659" s="7"/>
      <c r="I659" s="8" t="str">
        <f>IF(H659="","",IF(AND(OR(K659="rafmagn",K659="vetni"),H659&lt;Stillingar!$B$2),"já","nei"))</f>
        <v/>
      </c>
      <c r="J659" s="9" t="str">
        <f>IF(H659="","",IF(I659="já",H659-Stillingar!$B$3,H659))</f>
        <v/>
      </c>
      <c r="N659" s="10"/>
      <c r="P659" s="10"/>
      <c r="S659" s="10"/>
      <c r="U659" s="11"/>
    </row>
    <row r="660" spans="8:21" x14ac:dyDescent="0.2">
      <c r="H660" s="7"/>
      <c r="I660" s="8" t="str">
        <f>IF(H660="","",IF(AND(OR(K660="rafmagn",K660="vetni"),H660&lt;Stillingar!$B$2),"já","nei"))</f>
        <v/>
      </c>
      <c r="J660" s="9" t="str">
        <f>IF(H660="","",IF(I660="já",H660-Stillingar!$B$3,H660))</f>
        <v/>
      </c>
      <c r="N660" s="10"/>
      <c r="P660" s="10"/>
      <c r="S660" s="10"/>
      <c r="U660" s="11"/>
    </row>
    <row r="661" spans="8:21" x14ac:dyDescent="0.2">
      <c r="H661" s="7"/>
      <c r="I661" s="8" t="str">
        <f>IF(H661="","",IF(AND(OR(K661="rafmagn",K661="vetni"),H661&lt;Stillingar!$B$2),"já","nei"))</f>
        <v/>
      </c>
      <c r="J661" s="9" t="str">
        <f>IF(H661="","",IF(I661="já",H661-Stillingar!$B$3,H661))</f>
        <v/>
      </c>
      <c r="N661" s="10"/>
      <c r="P661" s="10"/>
      <c r="S661" s="10"/>
      <c r="U661" s="11"/>
    </row>
    <row r="662" spans="8:21" x14ac:dyDescent="0.2">
      <c r="H662" s="7"/>
      <c r="I662" s="8" t="str">
        <f>IF(H662="","",IF(AND(OR(K662="rafmagn",K662="vetni"),H662&lt;Stillingar!$B$2),"já","nei"))</f>
        <v/>
      </c>
      <c r="J662" s="9" t="str">
        <f>IF(H662="","",IF(I662="já",H662-Stillingar!$B$3,H662))</f>
        <v/>
      </c>
      <c r="N662" s="10"/>
      <c r="P662" s="10"/>
      <c r="S662" s="10"/>
      <c r="U662" s="11"/>
    </row>
    <row r="663" spans="8:21" x14ac:dyDescent="0.2">
      <c r="H663" s="7"/>
      <c r="I663" s="8" t="str">
        <f>IF(H663="","",IF(AND(OR(K663="rafmagn",K663="vetni"),H663&lt;Stillingar!$B$2),"já","nei"))</f>
        <v/>
      </c>
      <c r="J663" s="9" t="str">
        <f>IF(H663="","",IF(I663="já",H663-Stillingar!$B$3,H663))</f>
        <v/>
      </c>
      <c r="N663" s="10"/>
      <c r="P663" s="10"/>
      <c r="S663" s="10"/>
      <c r="U663" s="11"/>
    </row>
    <row r="664" spans="8:21" x14ac:dyDescent="0.2">
      <c r="H664" s="7"/>
      <c r="I664" s="8" t="str">
        <f>IF(H664="","",IF(AND(OR(K664="rafmagn",K664="vetni"),H664&lt;Stillingar!$B$2),"já","nei"))</f>
        <v/>
      </c>
      <c r="J664" s="9" t="str">
        <f>IF(H664="","",IF(I664="já",H664-Stillingar!$B$3,H664))</f>
        <v/>
      </c>
      <c r="N664" s="10"/>
      <c r="P664" s="10"/>
      <c r="S664" s="10"/>
      <c r="U664" s="11"/>
    </row>
    <row r="665" spans="8:21" x14ac:dyDescent="0.2">
      <c r="H665" s="7"/>
      <c r="I665" s="8" t="str">
        <f>IF(H665="","",IF(AND(OR(K665="rafmagn",K665="vetni"),H665&lt;Stillingar!$B$2),"já","nei"))</f>
        <v/>
      </c>
      <c r="J665" s="9" t="str">
        <f>IF(H665="","",IF(I665="já",H665-Stillingar!$B$3,H665))</f>
        <v/>
      </c>
      <c r="N665" s="10"/>
      <c r="P665" s="10"/>
      <c r="S665" s="10"/>
      <c r="U665" s="11"/>
    </row>
    <row r="666" spans="8:21" x14ac:dyDescent="0.2">
      <c r="H666" s="7"/>
      <c r="I666" s="8" t="str">
        <f>IF(H666="","",IF(AND(OR(K666="rafmagn",K666="vetni"),H666&lt;Stillingar!$B$2),"já","nei"))</f>
        <v/>
      </c>
      <c r="J666" s="9" t="str">
        <f>IF(H666="","",IF(I666="já",H666-Stillingar!$B$3,H666))</f>
        <v/>
      </c>
      <c r="N666" s="10"/>
      <c r="P666" s="10"/>
      <c r="S666" s="10"/>
      <c r="U666" s="11"/>
    </row>
    <row r="667" spans="8:21" x14ac:dyDescent="0.2">
      <c r="H667" s="7"/>
      <c r="I667" s="8" t="str">
        <f>IF(H667="","",IF(AND(OR(K667="rafmagn",K667="vetni"),H667&lt;Stillingar!$B$2),"já","nei"))</f>
        <v/>
      </c>
      <c r="J667" s="9" t="str">
        <f>IF(H667="","",IF(I667="já",H667-Stillingar!$B$3,H667))</f>
        <v/>
      </c>
      <c r="N667" s="10"/>
      <c r="P667" s="10"/>
      <c r="S667" s="10"/>
      <c r="U667" s="11"/>
    </row>
    <row r="668" spans="8:21" x14ac:dyDescent="0.2">
      <c r="H668" s="7"/>
      <c r="I668" s="8" t="str">
        <f>IF(H668="","",IF(AND(OR(K668="rafmagn",K668="vetni"),H668&lt;Stillingar!$B$2),"já","nei"))</f>
        <v/>
      </c>
      <c r="J668" s="9" t="str">
        <f>IF(H668="","",IF(I668="já",H668-Stillingar!$B$3,H668))</f>
        <v/>
      </c>
      <c r="N668" s="10"/>
      <c r="P668" s="10"/>
      <c r="S668" s="10"/>
      <c r="U668" s="11"/>
    </row>
    <row r="669" spans="8:21" x14ac:dyDescent="0.2">
      <c r="H669" s="7"/>
      <c r="I669" s="8" t="str">
        <f>IF(H669="","",IF(AND(OR(K669="rafmagn",K669="vetni"),H669&lt;Stillingar!$B$2),"já","nei"))</f>
        <v/>
      </c>
      <c r="J669" s="9" t="str">
        <f>IF(H669="","",IF(I669="já",H669-Stillingar!$B$3,H669))</f>
        <v/>
      </c>
      <c r="N669" s="10"/>
      <c r="P669" s="10"/>
      <c r="S669" s="10"/>
      <c r="U669" s="11"/>
    </row>
    <row r="670" spans="8:21" x14ac:dyDescent="0.2">
      <c r="H670" s="7"/>
      <c r="I670" s="8" t="str">
        <f>IF(H670="","",IF(AND(OR(K670="rafmagn",K670="vetni"),H670&lt;Stillingar!$B$2),"já","nei"))</f>
        <v/>
      </c>
      <c r="J670" s="9" t="str">
        <f>IF(H670="","",IF(I670="já",H670-Stillingar!$B$3,H670))</f>
        <v/>
      </c>
      <c r="N670" s="10"/>
      <c r="P670" s="10"/>
      <c r="S670" s="10"/>
      <c r="U670" s="11"/>
    </row>
    <row r="671" spans="8:21" x14ac:dyDescent="0.2">
      <c r="H671" s="7"/>
      <c r="I671" s="8" t="str">
        <f>IF(H671="","",IF(AND(OR(K671="rafmagn",K671="vetni"),H671&lt;Stillingar!$B$2),"já","nei"))</f>
        <v/>
      </c>
      <c r="J671" s="9" t="str">
        <f>IF(H671="","",IF(I671="já",H671-Stillingar!$B$3,H671))</f>
        <v/>
      </c>
      <c r="N671" s="10"/>
      <c r="P671" s="10"/>
      <c r="S671" s="10"/>
      <c r="U671" s="11"/>
    </row>
    <row r="672" spans="8:21" x14ac:dyDescent="0.2">
      <c r="H672" s="7"/>
      <c r="I672" s="8" t="str">
        <f>IF(H672="","",IF(AND(OR(K672="rafmagn",K672="vetni"),H672&lt;Stillingar!$B$2),"já","nei"))</f>
        <v/>
      </c>
      <c r="J672" s="9" t="str">
        <f>IF(H672="","",IF(I672="já",H672-Stillingar!$B$3,H672))</f>
        <v/>
      </c>
      <c r="N672" s="10"/>
      <c r="P672" s="10"/>
      <c r="S672" s="10"/>
      <c r="U672" s="11"/>
    </row>
    <row r="673" spans="8:21" x14ac:dyDescent="0.2">
      <c r="H673" s="7"/>
      <c r="I673" s="8" t="str">
        <f>IF(H673="","",IF(AND(OR(K673="rafmagn",K673="vetni"),H673&lt;Stillingar!$B$2),"já","nei"))</f>
        <v/>
      </c>
      <c r="J673" s="9" t="str">
        <f>IF(H673="","",IF(I673="já",H673-Stillingar!$B$3,H673))</f>
        <v/>
      </c>
      <c r="N673" s="10"/>
      <c r="P673" s="10"/>
      <c r="S673" s="10"/>
      <c r="U673" s="11"/>
    </row>
    <row r="674" spans="8:21" x14ac:dyDescent="0.2">
      <c r="H674" s="7"/>
      <c r="I674" s="8" t="str">
        <f>IF(H674="","",IF(AND(OR(K674="rafmagn",K674="vetni"),H674&lt;Stillingar!$B$2),"já","nei"))</f>
        <v/>
      </c>
      <c r="J674" s="9" t="str">
        <f>IF(H674="","",IF(I674="já",H674-Stillingar!$B$3,H674))</f>
        <v/>
      </c>
      <c r="N674" s="10"/>
      <c r="P674" s="10"/>
      <c r="S674" s="10"/>
      <c r="U674" s="11"/>
    </row>
    <row r="675" spans="8:21" x14ac:dyDescent="0.2">
      <c r="H675" s="7"/>
      <c r="I675" s="8" t="str">
        <f>IF(H675="","",IF(AND(OR(K675="rafmagn",K675="vetni"),H675&lt;Stillingar!$B$2),"já","nei"))</f>
        <v/>
      </c>
      <c r="J675" s="9" t="str">
        <f>IF(H675="","",IF(I675="já",H675-Stillingar!$B$3,H675))</f>
        <v/>
      </c>
      <c r="N675" s="10"/>
      <c r="P675" s="10"/>
      <c r="S675" s="10"/>
      <c r="U675" s="11"/>
    </row>
    <row r="676" spans="8:21" x14ac:dyDescent="0.2">
      <c r="H676" s="7"/>
      <c r="I676" s="8" t="str">
        <f>IF(H676="","",IF(AND(OR(K676="rafmagn",K676="vetni"),H676&lt;Stillingar!$B$2),"já","nei"))</f>
        <v/>
      </c>
      <c r="J676" s="9" t="str">
        <f>IF(H676="","",IF(I676="já",H676-Stillingar!$B$3,H676))</f>
        <v/>
      </c>
      <c r="N676" s="10"/>
      <c r="P676" s="10"/>
      <c r="S676" s="10"/>
      <c r="U676" s="11"/>
    </row>
    <row r="677" spans="8:21" x14ac:dyDescent="0.2">
      <c r="H677" s="7"/>
      <c r="I677" s="8" t="str">
        <f>IF(H677="","",IF(AND(OR(K677="rafmagn",K677="vetni"),H677&lt;Stillingar!$B$2),"já","nei"))</f>
        <v/>
      </c>
      <c r="J677" s="9" t="str">
        <f>IF(H677="","",IF(I677="já",H677-Stillingar!$B$3,H677))</f>
        <v/>
      </c>
      <c r="N677" s="10"/>
      <c r="P677" s="10"/>
      <c r="S677" s="10"/>
      <c r="U677" s="11"/>
    </row>
    <row r="678" spans="8:21" x14ac:dyDescent="0.2">
      <c r="H678" s="7"/>
      <c r="I678" s="8" t="str">
        <f>IF(H678="","",IF(AND(OR(K678="rafmagn",K678="vetni"),H678&lt;Stillingar!$B$2),"já","nei"))</f>
        <v/>
      </c>
      <c r="J678" s="9" t="str">
        <f>IF(H678="","",IF(I678="já",H678-Stillingar!$B$3,H678))</f>
        <v/>
      </c>
      <c r="N678" s="10"/>
      <c r="P678" s="10"/>
      <c r="S678" s="10"/>
      <c r="U678" s="11"/>
    </row>
    <row r="679" spans="8:21" x14ac:dyDescent="0.2">
      <c r="H679" s="7"/>
      <c r="I679" s="8" t="str">
        <f>IF(H679="","",IF(AND(OR(K679="rafmagn",K679="vetni"),H679&lt;Stillingar!$B$2),"já","nei"))</f>
        <v/>
      </c>
      <c r="J679" s="9" t="str">
        <f>IF(H679="","",IF(I679="já",H679-Stillingar!$B$3,H679))</f>
        <v/>
      </c>
      <c r="N679" s="10"/>
      <c r="P679" s="10"/>
      <c r="S679" s="10"/>
      <c r="U679" s="11"/>
    </row>
    <row r="680" spans="8:21" x14ac:dyDescent="0.2">
      <c r="H680" s="7"/>
      <c r="I680" s="8" t="str">
        <f>IF(H680="","",IF(AND(OR(K680="rafmagn",K680="vetni"),H680&lt;Stillingar!$B$2),"já","nei"))</f>
        <v/>
      </c>
      <c r="J680" s="9" t="str">
        <f>IF(H680="","",IF(I680="já",H680-Stillingar!$B$3,H680))</f>
        <v/>
      </c>
      <c r="N680" s="10"/>
      <c r="P680" s="10"/>
      <c r="S680" s="10"/>
      <c r="U680" s="11"/>
    </row>
    <row r="681" spans="8:21" x14ac:dyDescent="0.2">
      <c r="H681" s="7"/>
      <c r="I681" s="8" t="str">
        <f>IF(H681="","",IF(AND(OR(K681="rafmagn",K681="vetni"),H681&lt;Stillingar!$B$2),"já","nei"))</f>
        <v/>
      </c>
      <c r="J681" s="9" t="str">
        <f>IF(H681="","",IF(I681="já",H681-Stillingar!$B$3,H681))</f>
        <v/>
      </c>
      <c r="N681" s="10"/>
      <c r="P681" s="10"/>
      <c r="S681" s="10"/>
      <c r="U681" s="11"/>
    </row>
    <row r="682" spans="8:21" x14ac:dyDescent="0.2">
      <c r="H682" s="7"/>
      <c r="I682" s="8" t="str">
        <f>IF(H682="","",IF(AND(OR(K682="rafmagn",K682="vetni"),H682&lt;Stillingar!$B$2),"já","nei"))</f>
        <v/>
      </c>
      <c r="J682" s="9" t="str">
        <f>IF(H682="","",IF(I682="já",H682-Stillingar!$B$3,H682))</f>
        <v/>
      </c>
      <c r="N682" s="10"/>
      <c r="P682" s="10"/>
      <c r="S682" s="10"/>
      <c r="U682" s="11"/>
    </row>
    <row r="683" spans="8:21" x14ac:dyDescent="0.2">
      <c r="H683" s="7"/>
      <c r="I683" s="8" t="str">
        <f>IF(H683="","",IF(AND(OR(K683="rafmagn",K683="vetni"),H683&lt;Stillingar!$B$2),"já","nei"))</f>
        <v/>
      </c>
      <c r="J683" s="9" t="str">
        <f>IF(H683="","",IF(I683="já",H683-Stillingar!$B$3,H683))</f>
        <v/>
      </c>
      <c r="N683" s="10"/>
      <c r="P683" s="10"/>
      <c r="S683" s="10"/>
      <c r="U683" s="11"/>
    </row>
    <row r="684" spans="8:21" x14ac:dyDescent="0.2">
      <c r="H684" s="7"/>
      <c r="I684" s="8" t="str">
        <f>IF(H684="","",IF(AND(OR(K684="rafmagn",K684="vetni"),H684&lt;Stillingar!$B$2),"já","nei"))</f>
        <v/>
      </c>
      <c r="J684" s="9" t="str">
        <f>IF(H684="","",IF(I684="já",H684-Stillingar!$B$3,H684))</f>
        <v/>
      </c>
      <c r="N684" s="10"/>
      <c r="P684" s="10"/>
      <c r="S684" s="10"/>
      <c r="U684" s="11"/>
    </row>
    <row r="685" spans="8:21" x14ac:dyDescent="0.2">
      <c r="H685" s="7"/>
      <c r="I685" s="8" t="str">
        <f>IF(H685="","",IF(AND(OR(K685="rafmagn",K685="vetni"),H685&lt;Stillingar!$B$2),"já","nei"))</f>
        <v/>
      </c>
      <c r="J685" s="9" t="str">
        <f>IF(H685="","",IF(I685="já",H685-Stillingar!$B$3,H685))</f>
        <v/>
      </c>
      <c r="N685" s="10"/>
      <c r="P685" s="10"/>
      <c r="S685" s="10"/>
      <c r="U685" s="11"/>
    </row>
    <row r="686" spans="8:21" x14ac:dyDescent="0.2">
      <c r="H686" s="7"/>
      <c r="I686" s="8" t="str">
        <f>IF(H686="","",IF(AND(OR(K686="rafmagn",K686="vetni"),H686&lt;Stillingar!$B$2),"já","nei"))</f>
        <v/>
      </c>
      <c r="J686" s="9" t="str">
        <f>IF(H686="","",IF(I686="já",H686-Stillingar!$B$3,H686))</f>
        <v/>
      </c>
      <c r="N686" s="10"/>
      <c r="P686" s="10"/>
      <c r="S686" s="10"/>
      <c r="U686" s="11"/>
    </row>
    <row r="687" spans="8:21" x14ac:dyDescent="0.2">
      <c r="H687" s="7"/>
      <c r="I687" s="8" t="str">
        <f>IF(H687="","",IF(AND(OR(K687="rafmagn",K687="vetni"),H687&lt;Stillingar!$B$2),"já","nei"))</f>
        <v/>
      </c>
      <c r="J687" s="9" t="str">
        <f>IF(H687="","",IF(I687="já",H687-Stillingar!$B$3,H687))</f>
        <v/>
      </c>
      <c r="N687" s="10"/>
      <c r="P687" s="10"/>
      <c r="S687" s="10"/>
      <c r="U687" s="11"/>
    </row>
    <row r="688" spans="8:21" x14ac:dyDescent="0.2">
      <c r="H688" s="7"/>
      <c r="I688" s="8" t="str">
        <f>IF(H688="","",IF(AND(OR(K688="rafmagn",K688="vetni"),H688&lt;Stillingar!$B$2),"já","nei"))</f>
        <v/>
      </c>
      <c r="J688" s="9" t="str">
        <f>IF(H688="","",IF(I688="já",H688-Stillingar!$B$3,H688))</f>
        <v/>
      </c>
      <c r="N688" s="10"/>
      <c r="P688" s="10"/>
      <c r="S688" s="10"/>
      <c r="U688" s="11"/>
    </row>
    <row r="689" spans="8:21" x14ac:dyDescent="0.2">
      <c r="H689" s="7"/>
      <c r="I689" s="8" t="str">
        <f>IF(H689="","",IF(AND(OR(K689="rafmagn",K689="vetni"),H689&lt;Stillingar!$B$2),"já","nei"))</f>
        <v/>
      </c>
      <c r="J689" s="9" t="str">
        <f>IF(H689="","",IF(I689="já",H689-Stillingar!$B$3,H689))</f>
        <v/>
      </c>
      <c r="N689" s="10"/>
      <c r="P689" s="10"/>
      <c r="S689" s="10"/>
      <c r="U689" s="11"/>
    </row>
    <row r="690" spans="8:21" x14ac:dyDescent="0.2">
      <c r="H690" s="7"/>
      <c r="I690" s="8" t="str">
        <f>IF(H690="","",IF(AND(OR(K690="rafmagn",K690="vetni"),H690&lt;Stillingar!$B$2),"já","nei"))</f>
        <v/>
      </c>
      <c r="J690" s="9" t="str">
        <f>IF(H690="","",IF(I690="já",H690-Stillingar!$B$3,H690))</f>
        <v/>
      </c>
      <c r="N690" s="10"/>
      <c r="P690" s="10"/>
      <c r="S690" s="10"/>
      <c r="U690" s="11"/>
    </row>
    <row r="691" spans="8:21" x14ac:dyDescent="0.2">
      <c r="H691" s="7"/>
      <c r="I691" s="8" t="str">
        <f>IF(H691="","",IF(AND(OR(K691="rafmagn",K691="vetni"),H691&lt;Stillingar!$B$2),"já","nei"))</f>
        <v/>
      </c>
      <c r="J691" s="9" t="str">
        <f>IF(H691="","",IF(I691="já",H691-Stillingar!$B$3,H691))</f>
        <v/>
      </c>
      <c r="N691" s="10"/>
      <c r="P691" s="10"/>
      <c r="S691" s="10"/>
      <c r="U691" s="11"/>
    </row>
    <row r="692" spans="8:21" x14ac:dyDescent="0.2">
      <c r="H692" s="7"/>
      <c r="I692" s="8" t="str">
        <f>IF(H692="","",IF(AND(OR(K692="rafmagn",K692="vetni"),H692&lt;Stillingar!$B$2),"já","nei"))</f>
        <v/>
      </c>
      <c r="J692" s="9" t="str">
        <f>IF(H692="","",IF(I692="já",H692-Stillingar!$B$3,H692))</f>
        <v/>
      </c>
      <c r="N692" s="10"/>
      <c r="P692" s="10"/>
      <c r="S692" s="10"/>
      <c r="U692" s="11"/>
    </row>
    <row r="693" spans="8:21" x14ac:dyDescent="0.2">
      <c r="H693" s="7"/>
      <c r="I693" s="8" t="str">
        <f>IF(H693="","",IF(AND(OR(K693="rafmagn",K693="vetni"),H693&lt;Stillingar!$B$2),"já","nei"))</f>
        <v/>
      </c>
      <c r="J693" s="9" t="str">
        <f>IF(H693="","",IF(I693="já",H693-Stillingar!$B$3,H693))</f>
        <v/>
      </c>
      <c r="N693" s="10"/>
      <c r="P693" s="10"/>
      <c r="S693" s="10"/>
      <c r="U693" s="11"/>
    </row>
    <row r="694" spans="8:21" x14ac:dyDescent="0.2">
      <c r="H694" s="7"/>
      <c r="I694" s="8" t="str">
        <f>IF(H694="","",IF(AND(OR(K694="rafmagn",K694="vetni"),H694&lt;Stillingar!$B$2),"já","nei"))</f>
        <v/>
      </c>
      <c r="J694" s="9" t="str">
        <f>IF(H694="","",IF(I694="já",H694-Stillingar!$B$3,H694))</f>
        <v/>
      </c>
      <c r="N694" s="10"/>
      <c r="P694" s="10"/>
      <c r="S694" s="10"/>
      <c r="U694" s="11"/>
    </row>
    <row r="695" spans="8:21" x14ac:dyDescent="0.2">
      <c r="H695" s="7"/>
      <c r="I695" s="8" t="str">
        <f>IF(H695="","",IF(AND(OR(K695="rafmagn",K695="vetni"),H695&lt;Stillingar!$B$2),"já","nei"))</f>
        <v/>
      </c>
      <c r="J695" s="9" t="str">
        <f>IF(H695="","",IF(I695="já",H695-Stillingar!$B$3,H695))</f>
        <v/>
      </c>
      <c r="N695" s="10"/>
      <c r="P695" s="10"/>
      <c r="S695" s="10"/>
      <c r="U695" s="11"/>
    </row>
    <row r="696" spans="8:21" x14ac:dyDescent="0.2">
      <c r="H696" s="7"/>
      <c r="I696" s="8" t="str">
        <f>IF(H696="","",IF(AND(OR(K696="rafmagn",K696="vetni"),H696&lt;Stillingar!$B$2),"já","nei"))</f>
        <v/>
      </c>
      <c r="J696" s="9" t="str">
        <f>IF(H696="","",IF(I696="já",H696-Stillingar!$B$3,H696))</f>
        <v/>
      </c>
      <c r="N696" s="10"/>
      <c r="P696" s="10"/>
      <c r="S696" s="10"/>
      <c r="U696" s="11"/>
    </row>
    <row r="697" spans="8:21" x14ac:dyDescent="0.2">
      <c r="H697" s="7"/>
      <c r="I697" s="8" t="str">
        <f>IF(H697="","",IF(AND(OR(K697="rafmagn",K697="vetni"),H697&lt;Stillingar!$B$2),"já","nei"))</f>
        <v/>
      </c>
      <c r="J697" s="9" t="str">
        <f>IF(H697="","",IF(I697="já",H697-Stillingar!$B$3,H697))</f>
        <v/>
      </c>
      <c r="N697" s="10"/>
      <c r="P697" s="10"/>
      <c r="S697" s="10"/>
      <c r="U697" s="11"/>
    </row>
    <row r="698" spans="8:21" x14ac:dyDescent="0.2">
      <c r="H698" s="7"/>
      <c r="I698" s="8" t="str">
        <f>IF(H698="","",IF(AND(OR(K698="rafmagn",K698="vetni"),H698&lt;Stillingar!$B$2),"já","nei"))</f>
        <v/>
      </c>
      <c r="J698" s="9" t="str">
        <f>IF(H698="","",IF(I698="já",H698-Stillingar!$B$3,H698))</f>
        <v/>
      </c>
      <c r="N698" s="10"/>
      <c r="P698" s="10"/>
      <c r="S698" s="10"/>
      <c r="U698" s="11"/>
    </row>
    <row r="699" spans="8:21" x14ac:dyDescent="0.2">
      <c r="H699" s="7"/>
      <c r="I699" s="8" t="str">
        <f>IF(H699="","",IF(AND(OR(K699="rafmagn",K699="vetni"),H699&lt;Stillingar!$B$2),"já","nei"))</f>
        <v/>
      </c>
      <c r="J699" s="9" t="str">
        <f>IF(H699="","",IF(I699="já",H699-Stillingar!$B$3,H699))</f>
        <v/>
      </c>
      <c r="N699" s="10"/>
      <c r="P699" s="10"/>
      <c r="S699" s="10"/>
      <c r="U699" s="11"/>
    </row>
    <row r="700" spans="8:21" x14ac:dyDescent="0.2">
      <c r="H700" s="7"/>
      <c r="I700" s="8" t="str">
        <f>IF(H700="","",IF(AND(OR(K700="rafmagn",K700="vetni"),H700&lt;Stillingar!$B$2),"já","nei"))</f>
        <v/>
      </c>
      <c r="J700" s="9" t="str">
        <f>IF(H700="","",IF(I700="já",H700-Stillingar!$B$3,H700))</f>
        <v/>
      </c>
      <c r="N700" s="10"/>
      <c r="P700" s="10"/>
      <c r="S700" s="10"/>
      <c r="U700" s="11"/>
    </row>
    <row r="701" spans="8:21" x14ac:dyDescent="0.2">
      <c r="H701" s="7"/>
      <c r="I701" s="8" t="str">
        <f>IF(H701="","",IF(AND(OR(K701="rafmagn",K701="vetni"),H701&lt;Stillingar!$B$2),"já","nei"))</f>
        <v/>
      </c>
      <c r="J701" s="9" t="str">
        <f>IF(H701="","",IF(I701="já",H701-Stillingar!$B$3,H701))</f>
        <v/>
      </c>
      <c r="N701" s="10"/>
      <c r="P701" s="10"/>
      <c r="S701" s="10"/>
      <c r="U701" s="11"/>
    </row>
    <row r="702" spans="8:21" x14ac:dyDescent="0.2">
      <c r="H702" s="7"/>
      <c r="I702" s="8" t="str">
        <f>IF(H702="","",IF(AND(OR(K702="rafmagn",K702="vetni"),H702&lt;Stillingar!$B$2),"já","nei"))</f>
        <v/>
      </c>
      <c r="J702" s="9" t="str">
        <f>IF(H702="","",IF(I702="já",H702-Stillingar!$B$3,H702))</f>
        <v/>
      </c>
      <c r="N702" s="10"/>
      <c r="P702" s="10"/>
      <c r="S702" s="10"/>
      <c r="U702" s="11"/>
    </row>
    <row r="703" spans="8:21" x14ac:dyDescent="0.2">
      <c r="H703" s="7"/>
      <c r="I703" s="8" t="str">
        <f>IF(H703="","",IF(AND(OR(K703="rafmagn",K703="vetni"),H703&lt;Stillingar!$B$2),"já","nei"))</f>
        <v/>
      </c>
      <c r="J703" s="9" t="str">
        <f>IF(H703="","",IF(I703="já",H703-Stillingar!$B$3,H703))</f>
        <v/>
      </c>
      <c r="N703" s="10"/>
      <c r="P703" s="10"/>
      <c r="S703" s="10"/>
      <c r="U703" s="11"/>
    </row>
    <row r="704" spans="8:21" x14ac:dyDescent="0.2">
      <c r="H704" s="7"/>
      <c r="I704" s="8" t="str">
        <f>IF(H704="","",IF(AND(OR(K704="rafmagn",K704="vetni"),H704&lt;Stillingar!$B$2),"já","nei"))</f>
        <v/>
      </c>
      <c r="J704" s="9" t="str">
        <f>IF(H704="","",IF(I704="já",H704-Stillingar!$B$3,H704))</f>
        <v/>
      </c>
      <c r="N704" s="10"/>
      <c r="P704" s="10"/>
      <c r="S704" s="10"/>
      <c r="U704" s="11"/>
    </row>
    <row r="705" spans="8:21" x14ac:dyDescent="0.2">
      <c r="H705" s="7"/>
      <c r="I705" s="8" t="str">
        <f>IF(H705="","",IF(AND(OR(K705="rafmagn",K705="vetni"),H705&lt;Stillingar!$B$2),"já","nei"))</f>
        <v/>
      </c>
      <c r="J705" s="9" t="str">
        <f>IF(H705="","",IF(I705="já",H705-Stillingar!$B$3,H705))</f>
        <v/>
      </c>
      <c r="N705" s="10"/>
      <c r="P705" s="10"/>
      <c r="S705" s="10"/>
      <c r="U705" s="11"/>
    </row>
    <row r="706" spans="8:21" x14ac:dyDescent="0.2">
      <c r="H706" s="7"/>
      <c r="I706" s="8" t="str">
        <f>IF(H706="","",IF(AND(OR(K706="rafmagn",K706="vetni"),H706&lt;Stillingar!$B$2),"já","nei"))</f>
        <v/>
      </c>
      <c r="J706" s="9" t="str">
        <f>IF(H706="","",IF(I706="já",H706-Stillingar!$B$3,H706))</f>
        <v/>
      </c>
      <c r="N706" s="10"/>
      <c r="P706" s="10"/>
      <c r="S706" s="10"/>
      <c r="U706" s="11"/>
    </row>
    <row r="707" spans="8:21" x14ac:dyDescent="0.2">
      <c r="H707" s="7"/>
      <c r="I707" s="8" t="str">
        <f>IF(H707="","",IF(AND(OR(K707="rafmagn",K707="vetni"),H707&lt;Stillingar!$B$2),"já","nei"))</f>
        <v/>
      </c>
      <c r="J707" s="9" t="str">
        <f>IF(H707="","",IF(I707="já",H707-Stillingar!$B$3,H707))</f>
        <v/>
      </c>
      <c r="N707" s="10"/>
      <c r="P707" s="10"/>
      <c r="S707" s="10"/>
      <c r="U707" s="11"/>
    </row>
    <row r="708" spans="8:21" x14ac:dyDescent="0.2">
      <c r="H708" s="7"/>
      <c r="I708" s="8" t="str">
        <f>IF(H708="","",IF(AND(OR(K708="rafmagn",K708="vetni"),H708&lt;Stillingar!$B$2),"já","nei"))</f>
        <v/>
      </c>
      <c r="J708" s="9" t="str">
        <f>IF(H708="","",IF(I708="já",H708-Stillingar!$B$3,H708))</f>
        <v/>
      </c>
      <c r="N708" s="10"/>
      <c r="P708" s="10"/>
      <c r="S708" s="10"/>
      <c r="U708" s="11"/>
    </row>
    <row r="709" spans="8:21" x14ac:dyDescent="0.2">
      <c r="H709" s="7"/>
      <c r="I709" s="8" t="str">
        <f>IF(H709="","",IF(AND(OR(K709="rafmagn",K709="vetni"),H709&lt;Stillingar!$B$2),"já","nei"))</f>
        <v/>
      </c>
      <c r="J709" s="9" t="str">
        <f>IF(H709="","",IF(I709="já",H709-Stillingar!$B$3,H709))</f>
        <v/>
      </c>
      <c r="N709" s="10"/>
      <c r="P709" s="10"/>
      <c r="S709" s="10"/>
      <c r="U709" s="11"/>
    </row>
    <row r="710" spans="8:21" x14ac:dyDescent="0.2">
      <c r="H710" s="7"/>
      <c r="I710" s="8" t="str">
        <f>IF(H710="","",IF(AND(OR(K710="rafmagn",K710="vetni"),H710&lt;Stillingar!$B$2),"já","nei"))</f>
        <v/>
      </c>
      <c r="J710" s="9" t="str">
        <f>IF(H710="","",IF(I710="já",H710-Stillingar!$B$3,H710))</f>
        <v/>
      </c>
      <c r="N710" s="10"/>
      <c r="P710" s="10"/>
      <c r="S710" s="10"/>
      <c r="U710" s="11"/>
    </row>
    <row r="711" spans="8:21" x14ac:dyDescent="0.2">
      <c r="H711" s="7"/>
      <c r="I711" s="8" t="str">
        <f>IF(H711="","",IF(AND(OR(K711="rafmagn",K711="vetni"),H711&lt;Stillingar!$B$2),"já","nei"))</f>
        <v/>
      </c>
      <c r="J711" s="9" t="str">
        <f>IF(H711="","",IF(I711="já",H711-Stillingar!$B$3,H711))</f>
        <v/>
      </c>
      <c r="N711" s="10"/>
      <c r="P711" s="10"/>
      <c r="S711" s="10"/>
      <c r="U711" s="11"/>
    </row>
    <row r="712" spans="8:21" x14ac:dyDescent="0.2">
      <c r="H712" s="7"/>
      <c r="I712" s="8" t="str">
        <f>IF(H712="","",IF(AND(OR(K712="rafmagn",K712="vetni"),H712&lt;Stillingar!$B$2),"já","nei"))</f>
        <v/>
      </c>
      <c r="J712" s="9" t="str">
        <f>IF(H712="","",IF(I712="já",H712-Stillingar!$B$3,H712))</f>
        <v/>
      </c>
      <c r="N712" s="10"/>
      <c r="P712" s="10"/>
      <c r="S712" s="10"/>
      <c r="U712" s="11"/>
    </row>
    <row r="713" spans="8:21" x14ac:dyDescent="0.2">
      <c r="H713" s="7"/>
      <c r="I713" s="8" t="str">
        <f>IF(H713="","",IF(AND(OR(K713="rafmagn",K713="vetni"),H713&lt;Stillingar!$B$2),"já","nei"))</f>
        <v/>
      </c>
      <c r="J713" s="9" t="str">
        <f>IF(H713="","",IF(I713="já",H713-Stillingar!$B$3,H713))</f>
        <v/>
      </c>
      <c r="N713" s="10"/>
      <c r="P713" s="10"/>
      <c r="S713" s="10"/>
      <c r="U713" s="11"/>
    </row>
    <row r="714" spans="8:21" x14ac:dyDescent="0.2">
      <c r="H714" s="7"/>
      <c r="I714" s="8" t="str">
        <f>IF(H714="","",IF(AND(OR(K714="rafmagn",K714="vetni"),H714&lt;Stillingar!$B$2),"já","nei"))</f>
        <v/>
      </c>
      <c r="J714" s="9" t="str">
        <f>IF(H714="","",IF(I714="já",H714-Stillingar!$B$3,H714))</f>
        <v/>
      </c>
      <c r="N714" s="10"/>
      <c r="P714" s="10"/>
      <c r="S714" s="10"/>
      <c r="U714" s="11"/>
    </row>
    <row r="715" spans="8:21" x14ac:dyDescent="0.2">
      <c r="H715" s="7"/>
      <c r="I715" s="8" t="str">
        <f>IF(H715="","",IF(AND(OR(K715="rafmagn",K715="vetni"),H715&lt;Stillingar!$B$2),"já","nei"))</f>
        <v/>
      </c>
      <c r="J715" s="9" t="str">
        <f>IF(H715="","",IF(I715="já",H715-Stillingar!$B$3,H715))</f>
        <v/>
      </c>
      <c r="N715" s="10"/>
      <c r="P715" s="10"/>
      <c r="S715" s="10"/>
      <c r="U715" s="11"/>
    </row>
    <row r="716" spans="8:21" x14ac:dyDescent="0.2">
      <c r="H716" s="7"/>
      <c r="I716" s="8" t="str">
        <f>IF(H716="","",IF(AND(OR(K716="rafmagn",K716="vetni"),H716&lt;Stillingar!$B$2),"já","nei"))</f>
        <v/>
      </c>
      <c r="J716" s="9" t="str">
        <f>IF(H716="","",IF(I716="já",H716-Stillingar!$B$3,H716))</f>
        <v/>
      </c>
      <c r="N716" s="10"/>
      <c r="P716" s="10"/>
      <c r="S716" s="10"/>
      <c r="U716" s="11"/>
    </row>
    <row r="717" spans="8:21" x14ac:dyDescent="0.2">
      <c r="H717" s="7"/>
      <c r="I717" s="8" t="str">
        <f>IF(H717="","",IF(AND(OR(K717="rafmagn",K717="vetni"),H717&lt;Stillingar!$B$2),"já","nei"))</f>
        <v/>
      </c>
      <c r="J717" s="9" t="str">
        <f>IF(H717="","",IF(I717="já",H717-Stillingar!$B$3,H717))</f>
        <v/>
      </c>
      <c r="N717" s="10"/>
      <c r="P717" s="10"/>
      <c r="S717" s="10"/>
      <c r="U717" s="11"/>
    </row>
    <row r="718" spans="8:21" x14ac:dyDescent="0.2">
      <c r="H718" s="7"/>
      <c r="I718" s="8" t="str">
        <f>IF(H718="","",IF(AND(OR(K718="rafmagn",K718="vetni"),H718&lt;Stillingar!$B$2),"já","nei"))</f>
        <v/>
      </c>
      <c r="J718" s="9" t="str">
        <f>IF(H718="","",IF(I718="já",H718-Stillingar!$B$3,H718))</f>
        <v/>
      </c>
      <c r="N718" s="10"/>
      <c r="P718" s="10"/>
      <c r="S718" s="10"/>
      <c r="U718" s="11"/>
    </row>
    <row r="719" spans="8:21" x14ac:dyDescent="0.2">
      <c r="H719" s="7"/>
      <c r="I719" s="8" t="str">
        <f>IF(H719="","",IF(AND(OR(K719="rafmagn",K719="vetni"),H719&lt;Stillingar!$B$2),"já","nei"))</f>
        <v/>
      </c>
      <c r="J719" s="9" t="str">
        <f>IF(H719="","",IF(I719="já",H719-Stillingar!$B$3,H719))</f>
        <v/>
      </c>
      <c r="N719" s="10"/>
      <c r="P719" s="10"/>
      <c r="S719" s="10"/>
      <c r="U719" s="11"/>
    </row>
    <row r="720" spans="8:21" x14ac:dyDescent="0.2">
      <c r="H720" s="7"/>
      <c r="I720" s="8" t="str">
        <f>IF(H720="","",IF(AND(OR(K720="rafmagn",K720="vetni"),H720&lt;Stillingar!$B$2),"já","nei"))</f>
        <v/>
      </c>
      <c r="J720" s="9" t="str">
        <f>IF(H720="","",IF(I720="já",H720-Stillingar!$B$3,H720))</f>
        <v/>
      </c>
      <c r="N720" s="10"/>
      <c r="P720" s="10"/>
      <c r="S720" s="10"/>
      <c r="U720" s="11"/>
    </row>
    <row r="721" spans="8:21" x14ac:dyDescent="0.2">
      <c r="H721" s="7"/>
      <c r="I721" s="8" t="str">
        <f>IF(H721="","",IF(AND(OR(K721="rafmagn",K721="vetni"),H721&lt;Stillingar!$B$2),"já","nei"))</f>
        <v/>
      </c>
      <c r="J721" s="9" t="str">
        <f>IF(H721="","",IF(I721="já",H721-Stillingar!$B$3,H721))</f>
        <v/>
      </c>
      <c r="N721" s="10"/>
      <c r="P721" s="10"/>
      <c r="S721" s="10"/>
      <c r="U721" s="11"/>
    </row>
    <row r="722" spans="8:21" x14ac:dyDescent="0.2">
      <c r="H722" s="7"/>
      <c r="I722" s="8" t="str">
        <f>IF(H722="","",IF(AND(OR(K722="rafmagn",K722="vetni"),H722&lt;Stillingar!$B$2),"já","nei"))</f>
        <v/>
      </c>
      <c r="J722" s="9" t="str">
        <f>IF(H722="","",IF(I722="já",H722-Stillingar!$B$3,H722))</f>
        <v/>
      </c>
      <c r="N722" s="10"/>
      <c r="P722" s="10"/>
      <c r="S722" s="10"/>
      <c r="U722" s="11"/>
    </row>
    <row r="723" spans="8:21" x14ac:dyDescent="0.2">
      <c r="H723" s="7"/>
      <c r="I723" s="8" t="str">
        <f>IF(H723="","",IF(AND(OR(K723="rafmagn",K723="vetni"),H723&lt;Stillingar!$B$2),"já","nei"))</f>
        <v/>
      </c>
      <c r="J723" s="9" t="str">
        <f>IF(H723="","",IF(I723="já",H723-Stillingar!$B$3,H723))</f>
        <v/>
      </c>
      <c r="N723" s="10"/>
      <c r="P723" s="10"/>
      <c r="S723" s="10"/>
      <c r="U723" s="11"/>
    </row>
    <row r="724" spans="8:21" x14ac:dyDescent="0.2">
      <c r="H724" s="7"/>
      <c r="I724" s="8" t="str">
        <f>IF(H724="","",IF(AND(OR(K724="rafmagn",K724="vetni"),H724&lt;Stillingar!$B$2),"já","nei"))</f>
        <v/>
      </c>
      <c r="J724" s="9" t="str">
        <f>IF(H724="","",IF(I724="já",H724-Stillingar!$B$3,H724))</f>
        <v/>
      </c>
      <c r="N724" s="10"/>
      <c r="P724" s="10"/>
      <c r="S724" s="10"/>
      <c r="U724" s="11"/>
    </row>
    <row r="725" spans="8:21" x14ac:dyDescent="0.2">
      <c r="H725" s="7"/>
      <c r="I725" s="8" t="str">
        <f>IF(H725="","",IF(AND(OR(K725="rafmagn",K725="vetni"),H725&lt;Stillingar!$B$2),"já","nei"))</f>
        <v/>
      </c>
      <c r="J725" s="9" t="str">
        <f>IF(H725="","",IF(I725="já",H725-Stillingar!$B$3,H725))</f>
        <v/>
      </c>
      <c r="N725" s="10"/>
      <c r="P725" s="10"/>
      <c r="S725" s="10"/>
      <c r="U725" s="11"/>
    </row>
    <row r="726" spans="8:21" x14ac:dyDescent="0.2">
      <c r="H726" s="7"/>
      <c r="I726" s="8" t="str">
        <f>IF(H726="","",IF(AND(OR(K726="rafmagn",K726="vetni"),H726&lt;Stillingar!$B$2),"já","nei"))</f>
        <v/>
      </c>
      <c r="J726" s="9" t="str">
        <f>IF(H726="","",IF(I726="já",H726-Stillingar!$B$3,H726))</f>
        <v/>
      </c>
      <c r="N726" s="10"/>
      <c r="P726" s="10"/>
      <c r="S726" s="10"/>
      <c r="U726" s="11"/>
    </row>
    <row r="727" spans="8:21" x14ac:dyDescent="0.2">
      <c r="H727" s="7"/>
      <c r="I727" s="8" t="str">
        <f>IF(H727="","",IF(AND(OR(K727="rafmagn",K727="vetni"),H727&lt;Stillingar!$B$2),"já","nei"))</f>
        <v/>
      </c>
      <c r="J727" s="9" t="str">
        <f>IF(H727="","",IF(I727="já",H727-Stillingar!$B$3,H727))</f>
        <v/>
      </c>
      <c r="N727" s="10"/>
      <c r="P727" s="10"/>
      <c r="S727" s="10"/>
      <c r="U727" s="11"/>
    </row>
    <row r="728" spans="8:21" x14ac:dyDescent="0.2">
      <c r="H728" s="7"/>
      <c r="I728" s="8" t="str">
        <f>IF(H728="","",IF(AND(OR(K728="rafmagn",K728="vetni"),H728&lt;Stillingar!$B$2),"já","nei"))</f>
        <v/>
      </c>
      <c r="J728" s="9" t="str">
        <f>IF(H728="","",IF(I728="já",H728-Stillingar!$B$3,H728))</f>
        <v/>
      </c>
      <c r="N728" s="10"/>
      <c r="P728" s="10"/>
      <c r="S728" s="10"/>
      <c r="U728" s="11"/>
    </row>
    <row r="729" spans="8:21" x14ac:dyDescent="0.2">
      <c r="H729" s="7"/>
      <c r="I729" s="8" t="str">
        <f>IF(H729="","",IF(AND(OR(K729="rafmagn",K729="vetni"),H729&lt;Stillingar!$B$2),"já","nei"))</f>
        <v/>
      </c>
      <c r="J729" s="9" t="str">
        <f>IF(H729="","",IF(I729="já",H729-Stillingar!$B$3,H729))</f>
        <v/>
      </c>
      <c r="N729" s="10"/>
      <c r="P729" s="10"/>
      <c r="S729" s="10"/>
      <c r="U729" s="11"/>
    </row>
    <row r="730" spans="8:21" x14ac:dyDescent="0.2">
      <c r="H730" s="7"/>
      <c r="I730" s="8" t="str">
        <f>IF(H730="","",IF(AND(OR(K730="rafmagn",K730="vetni"),H730&lt;Stillingar!$B$2),"já","nei"))</f>
        <v/>
      </c>
      <c r="J730" s="9" t="str">
        <f>IF(H730="","",IF(I730="já",H730-Stillingar!$B$3,H730))</f>
        <v/>
      </c>
      <c r="N730" s="10"/>
      <c r="P730" s="10"/>
      <c r="S730" s="10"/>
      <c r="U730" s="11"/>
    </row>
    <row r="731" spans="8:21" x14ac:dyDescent="0.2">
      <c r="H731" s="7"/>
      <c r="I731" s="8" t="str">
        <f>IF(H731="","",IF(AND(OR(K731="rafmagn",K731="vetni"),H731&lt;Stillingar!$B$2),"já","nei"))</f>
        <v/>
      </c>
      <c r="J731" s="9" t="str">
        <f>IF(H731="","",IF(I731="já",H731-Stillingar!$B$3,H731))</f>
        <v/>
      </c>
      <c r="N731" s="10"/>
      <c r="P731" s="10"/>
      <c r="S731" s="10"/>
      <c r="U731" s="11"/>
    </row>
    <row r="732" spans="8:21" x14ac:dyDescent="0.2">
      <c r="H732" s="7"/>
      <c r="I732" s="8" t="str">
        <f>IF(H732="","",IF(AND(OR(K732="rafmagn",K732="vetni"),H732&lt;Stillingar!$B$2),"já","nei"))</f>
        <v/>
      </c>
      <c r="J732" s="9" t="str">
        <f>IF(H732="","",IF(I732="já",H732-Stillingar!$B$3,H732))</f>
        <v/>
      </c>
      <c r="N732" s="10"/>
      <c r="P732" s="10"/>
      <c r="S732" s="10"/>
      <c r="U732" s="11"/>
    </row>
    <row r="733" spans="8:21" x14ac:dyDescent="0.2">
      <c r="H733" s="7"/>
      <c r="I733" s="8" t="str">
        <f>IF(H733="","",IF(AND(OR(K733="rafmagn",K733="vetni"),H733&lt;Stillingar!$B$2),"já","nei"))</f>
        <v/>
      </c>
      <c r="J733" s="9" t="str">
        <f>IF(H733="","",IF(I733="já",H733-Stillingar!$B$3,H733))</f>
        <v/>
      </c>
      <c r="N733" s="10"/>
      <c r="P733" s="10"/>
      <c r="S733" s="10"/>
      <c r="U733" s="11"/>
    </row>
    <row r="734" spans="8:21" x14ac:dyDescent="0.2">
      <c r="H734" s="7"/>
      <c r="I734" s="8" t="str">
        <f>IF(H734="","",IF(AND(OR(K734="rafmagn",K734="vetni"),H734&lt;Stillingar!$B$2),"já","nei"))</f>
        <v/>
      </c>
      <c r="J734" s="9" t="str">
        <f>IF(H734="","",IF(I734="já",H734-Stillingar!$B$3,H734))</f>
        <v/>
      </c>
      <c r="N734" s="10"/>
      <c r="P734" s="10"/>
      <c r="S734" s="10"/>
      <c r="U734" s="11"/>
    </row>
    <row r="735" spans="8:21" x14ac:dyDescent="0.2">
      <c r="H735" s="7"/>
      <c r="I735" s="8" t="str">
        <f>IF(H735="","",IF(AND(OR(K735="rafmagn",K735="vetni"),H735&lt;Stillingar!$B$2),"já","nei"))</f>
        <v/>
      </c>
      <c r="J735" s="9" t="str">
        <f>IF(H735="","",IF(I735="já",H735-Stillingar!$B$3,H735))</f>
        <v/>
      </c>
      <c r="N735" s="10"/>
      <c r="P735" s="10"/>
      <c r="S735" s="10"/>
      <c r="U735" s="11"/>
    </row>
    <row r="736" spans="8:21" x14ac:dyDescent="0.2">
      <c r="H736" s="7"/>
      <c r="I736" s="8" t="str">
        <f>IF(H736="","",IF(AND(OR(K736="rafmagn",K736="vetni"),H736&lt;Stillingar!$B$2),"já","nei"))</f>
        <v/>
      </c>
      <c r="J736" s="9" t="str">
        <f>IF(H736="","",IF(I736="já",H736-Stillingar!$B$3,H736))</f>
        <v/>
      </c>
      <c r="N736" s="10"/>
      <c r="P736" s="10"/>
      <c r="S736" s="10"/>
      <c r="U736" s="11"/>
    </row>
    <row r="737" spans="8:21" x14ac:dyDescent="0.2">
      <c r="H737" s="7"/>
      <c r="I737" s="8" t="str">
        <f>IF(H737="","",IF(AND(OR(K737="rafmagn",K737="vetni"),H737&lt;Stillingar!$B$2),"já","nei"))</f>
        <v/>
      </c>
      <c r="J737" s="9" t="str">
        <f>IF(H737="","",IF(I737="já",H737-Stillingar!$B$3,H737))</f>
        <v/>
      </c>
      <c r="N737" s="10"/>
      <c r="P737" s="10"/>
      <c r="S737" s="10"/>
      <c r="U737" s="11"/>
    </row>
    <row r="738" spans="8:21" x14ac:dyDescent="0.2">
      <c r="H738" s="7"/>
      <c r="I738" s="8" t="str">
        <f>IF(H738="","",IF(AND(OR(K738="rafmagn",K738="vetni"),H738&lt;Stillingar!$B$2),"já","nei"))</f>
        <v/>
      </c>
      <c r="J738" s="9" t="str">
        <f>IF(H738="","",IF(I738="já",H738-Stillingar!$B$3,H738))</f>
        <v/>
      </c>
      <c r="N738" s="10"/>
      <c r="P738" s="10"/>
      <c r="S738" s="10"/>
      <c r="U738" s="11"/>
    </row>
    <row r="739" spans="8:21" x14ac:dyDescent="0.2">
      <c r="H739" s="7"/>
      <c r="I739" s="8" t="str">
        <f>IF(H739="","",IF(AND(OR(K739="rafmagn",K739="vetni"),H739&lt;Stillingar!$B$2),"já","nei"))</f>
        <v/>
      </c>
      <c r="J739" s="9" t="str">
        <f>IF(H739="","",IF(I739="já",H739-Stillingar!$B$3,H739))</f>
        <v/>
      </c>
      <c r="N739" s="10"/>
      <c r="P739" s="10"/>
      <c r="S739" s="10"/>
      <c r="U739" s="11"/>
    </row>
    <row r="740" spans="8:21" x14ac:dyDescent="0.2">
      <c r="H740" s="7"/>
      <c r="I740" s="8" t="str">
        <f>IF(H740="","",IF(AND(OR(K740="rafmagn",K740="vetni"),H740&lt;Stillingar!$B$2),"já","nei"))</f>
        <v/>
      </c>
      <c r="J740" s="9" t="str">
        <f>IF(H740="","",IF(I740="já",H740-Stillingar!$B$3,H740))</f>
        <v/>
      </c>
      <c r="N740" s="10"/>
      <c r="P740" s="10"/>
      <c r="S740" s="10"/>
      <c r="U740" s="11"/>
    </row>
    <row r="741" spans="8:21" x14ac:dyDescent="0.2">
      <c r="H741" s="7"/>
      <c r="I741" s="8" t="str">
        <f>IF(H741="","",IF(AND(OR(K741="rafmagn",K741="vetni"),H741&lt;Stillingar!$B$2),"já","nei"))</f>
        <v/>
      </c>
      <c r="J741" s="9" t="str">
        <f>IF(H741="","",IF(I741="já",H741-Stillingar!$B$3,H741))</f>
        <v/>
      </c>
      <c r="N741" s="10"/>
      <c r="P741" s="10"/>
      <c r="S741" s="10"/>
      <c r="U741" s="11"/>
    </row>
    <row r="742" spans="8:21" x14ac:dyDescent="0.2">
      <c r="H742" s="7"/>
      <c r="I742" s="8" t="str">
        <f>IF(H742="","",IF(AND(OR(K742="rafmagn",K742="vetni"),H742&lt;Stillingar!$B$2),"já","nei"))</f>
        <v/>
      </c>
      <c r="J742" s="9" t="str">
        <f>IF(H742="","",IF(I742="já",H742-Stillingar!$B$3,H742))</f>
        <v/>
      </c>
      <c r="N742" s="10"/>
      <c r="P742" s="10"/>
      <c r="S742" s="10"/>
      <c r="U742" s="11"/>
    </row>
    <row r="743" spans="8:21" x14ac:dyDescent="0.2">
      <c r="H743" s="7"/>
      <c r="I743" s="8" t="str">
        <f>IF(H743="","",IF(AND(OR(K743="rafmagn",K743="vetni"),H743&lt;Stillingar!$B$2),"já","nei"))</f>
        <v/>
      </c>
      <c r="J743" s="9" t="str">
        <f>IF(H743="","",IF(I743="já",H743-Stillingar!$B$3,H743))</f>
        <v/>
      </c>
      <c r="N743" s="10"/>
      <c r="P743" s="10"/>
      <c r="S743" s="10"/>
      <c r="U743" s="11"/>
    </row>
    <row r="744" spans="8:21" x14ac:dyDescent="0.2">
      <c r="H744" s="7"/>
      <c r="I744" s="8" t="str">
        <f>IF(H744="","",IF(AND(OR(K744="rafmagn",K744="vetni"),H744&lt;Stillingar!$B$2),"já","nei"))</f>
        <v/>
      </c>
      <c r="J744" s="9" t="str">
        <f>IF(H744="","",IF(I744="já",H744-Stillingar!$B$3,H744))</f>
        <v/>
      </c>
      <c r="N744" s="10"/>
      <c r="P744" s="10"/>
      <c r="S744" s="10"/>
      <c r="U744" s="11"/>
    </row>
    <row r="745" spans="8:21" x14ac:dyDescent="0.2">
      <c r="H745" s="7"/>
      <c r="I745" s="8" t="str">
        <f>IF(H745="","",IF(AND(OR(K745="rafmagn",K745="vetni"),H745&lt;Stillingar!$B$2),"já","nei"))</f>
        <v/>
      </c>
      <c r="J745" s="9" t="str">
        <f>IF(H745="","",IF(I745="já",H745-Stillingar!$B$3,H745))</f>
        <v/>
      </c>
      <c r="N745" s="10"/>
      <c r="P745" s="10"/>
      <c r="S745" s="10"/>
      <c r="U745" s="11"/>
    </row>
    <row r="746" spans="8:21" x14ac:dyDescent="0.2">
      <c r="H746" s="7"/>
      <c r="I746" s="8" t="str">
        <f>IF(H746="","",IF(AND(OR(K746="rafmagn",K746="vetni"),H746&lt;Stillingar!$B$2),"já","nei"))</f>
        <v/>
      </c>
      <c r="J746" s="9" t="str">
        <f>IF(H746="","",IF(I746="já",H746-Stillingar!$B$3,H746))</f>
        <v/>
      </c>
      <c r="N746" s="10"/>
      <c r="P746" s="10"/>
      <c r="S746" s="10"/>
      <c r="U746" s="11"/>
    </row>
    <row r="747" spans="8:21" x14ac:dyDescent="0.2">
      <c r="H747" s="7"/>
      <c r="I747" s="8" t="str">
        <f>IF(H747="","",IF(AND(OR(K747="rafmagn",K747="vetni"),H747&lt;Stillingar!$B$2),"já","nei"))</f>
        <v/>
      </c>
      <c r="J747" s="9" t="str">
        <f>IF(H747="","",IF(I747="já",H747-Stillingar!$B$3,H747))</f>
        <v/>
      </c>
      <c r="N747" s="10"/>
      <c r="P747" s="10"/>
      <c r="S747" s="10"/>
      <c r="U747" s="11"/>
    </row>
    <row r="748" spans="8:21" x14ac:dyDescent="0.2">
      <c r="H748" s="7"/>
      <c r="I748" s="8" t="str">
        <f>IF(H748="","",IF(AND(OR(K748="rafmagn",K748="vetni"),H748&lt;Stillingar!$B$2),"já","nei"))</f>
        <v/>
      </c>
      <c r="J748" s="9" t="str">
        <f>IF(H748="","",IF(I748="já",H748-Stillingar!$B$3,H748))</f>
        <v/>
      </c>
      <c r="N748" s="10"/>
      <c r="P748" s="10"/>
      <c r="S748" s="10"/>
      <c r="U748" s="11"/>
    </row>
    <row r="749" spans="8:21" x14ac:dyDescent="0.2">
      <c r="H749" s="7"/>
      <c r="I749" s="8" t="str">
        <f>IF(H749="","",IF(AND(OR(K749="rafmagn",K749="vetni"),H749&lt;Stillingar!$B$2),"já","nei"))</f>
        <v/>
      </c>
      <c r="J749" s="9" t="str">
        <f>IF(H749="","",IF(I749="já",H749-Stillingar!$B$3,H749))</f>
        <v/>
      </c>
      <c r="N749" s="10"/>
      <c r="P749" s="10"/>
      <c r="S749" s="10"/>
      <c r="U749" s="11"/>
    </row>
    <row r="750" spans="8:21" x14ac:dyDescent="0.2">
      <c r="H750" s="7"/>
      <c r="I750" s="8" t="str">
        <f>IF(H750="","",IF(AND(OR(K750="rafmagn",K750="vetni"),H750&lt;Stillingar!$B$2),"já","nei"))</f>
        <v/>
      </c>
      <c r="J750" s="9" t="str">
        <f>IF(H750="","",IF(I750="já",H750-Stillingar!$B$3,H750))</f>
        <v/>
      </c>
      <c r="N750" s="10"/>
      <c r="P750" s="10"/>
      <c r="S750" s="10"/>
      <c r="U750" s="11"/>
    </row>
    <row r="751" spans="8:21" x14ac:dyDescent="0.2">
      <c r="H751" s="7"/>
      <c r="I751" s="8" t="str">
        <f>IF(H751="","",IF(AND(OR(K751="rafmagn",K751="vetni"),H751&lt;Stillingar!$B$2),"já","nei"))</f>
        <v/>
      </c>
      <c r="J751" s="9" t="str">
        <f>IF(H751="","",IF(I751="já",H751-Stillingar!$B$3,H751))</f>
        <v/>
      </c>
      <c r="N751" s="10"/>
      <c r="P751" s="10"/>
      <c r="S751" s="10"/>
      <c r="U751" s="11"/>
    </row>
    <row r="752" spans="8:21" x14ac:dyDescent="0.2">
      <c r="H752" s="7"/>
      <c r="I752" s="8" t="str">
        <f>IF(H752="","",IF(AND(OR(K752="rafmagn",K752="vetni"),H752&lt;Stillingar!$B$2),"já","nei"))</f>
        <v/>
      </c>
      <c r="J752" s="9" t="str">
        <f>IF(H752="","",IF(I752="já",H752-Stillingar!$B$3,H752))</f>
        <v/>
      </c>
      <c r="N752" s="10"/>
      <c r="P752" s="10"/>
      <c r="S752" s="10"/>
      <c r="U752" s="11"/>
    </row>
    <row r="753" spans="8:21" x14ac:dyDescent="0.2">
      <c r="H753" s="7"/>
      <c r="I753" s="8" t="str">
        <f>IF(H753="","",IF(AND(OR(K753="rafmagn",K753="vetni"),H753&lt;Stillingar!$B$2),"já","nei"))</f>
        <v/>
      </c>
      <c r="J753" s="9" t="str">
        <f>IF(H753="","",IF(I753="já",H753-Stillingar!$B$3,H753))</f>
        <v/>
      </c>
      <c r="N753" s="10"/>
      <c r="P753" s="10"/>
      <c r="S753" s="10"/>
      <c r="U753" s="11"/>
    </row>
    <row r="754" spans="8:21" x14ac:dyDescent="0.2">
      <c r="H754" s="7"/>
      <c r="I754" s="8" t="str">
        <f>IF(H754="","",IF(AND(OR(K754="rafmagn",K754="vetni"),H754&lt;Stillingar!$B$2),"já","nei"))</f>
        <v/>
      </c>
      <c r="J754" s="9" t="str">
        <f>IF(H754="","",IF(I754="já",H754-Stillingar!$B$3,H754))</f>
        <v/>
      </c>
      <c r="N754" s="10"/>
      <c r="P754" s="10"/>
      <c r="S754" s="10"/>
      <c r="U754" s="11"/>
    </row>
    <row r="755" spans="8:21" x14ac:dyDescent="0.2">
      <c r="H755" s="7"/>
      <c r="I755" s="8" t="str">
        <f>IF(H755="","",IF(AND(OR(K755="rafmagn",K755="vetni"),H755&lt;Stillingar!$B$2),"já","nei"))</f>
        <v/>
      </c>
      <c r="J755" s="9" t="str">
        <f>IF(H755="","",IF(I755="já",H755-Stillingar!$B$3,H755))</f>
        <v/>
      </c>
      <c r="N755" s="10"/>
      <c r="P755" s="10"/>
      <c r="S755" s="10"/>
      <c r="U755" s="11"/>
    </row>
    <row r="756" spans="8:21" x14ac:dyDescent="0.2">
      <c r="H756" s="7"/>
      <c r="I756" s="8" t="str">
        <f>IF(H756="","",IF(AND(OR(K756="rafmagn",K756="vetni"),H756&lt;Stillingar!$B$2),"já","nei"))</f>
        <v/>
      </c>
      <c r="J756" s="9" t="str">
        <f>IF(H756="","",IF(I756="já",H756-Stillingar!$B$3,H756))</f>
        <v/>
      </c>
      <c r="N756" s="10"/>
      <c r="P756" s="10"/>
      <c r="S756" s="10"/>
      <c r="U756" s="11"/>
    </row>
    <row r="757" spans="8:21" x14ac:dyDescent="0.2">
      <c r="H757" s="7"/>
      <c r="I757" s="8" t="str">
        <f>IF(H757="","",IF(AND(OR(K757="rafmagn",K757="vetni"),H757&lt;Stillingar!$B$2),"já","nei"))</f>
        <v/>
      </c>
      <c r="J757" s="9" t="str">
        <f>IF(H757="","",IF(I757="já",H757-Stillingar!$B$3,H757))</f>
        <v/>
      </c>
      <c r="N757" s="10"/>
      <c r="P757" s="10"/>
      <c r="S757" s="10"/>
      <c r="U757" s="11"/>
    </row>
    <row r="758" spans="8:21" x14ac:dyDescent="0.2">
      <c r="H758" s="7"/>
      <c r="I758" s="8" t="str">
        <f>IF(H758="","",IF(AND(OR(K758="rafmagn",K758="vetni"),H758&lt;Stillingar!$B$2),"já","nei"))</f>
        <v/>
      </c>
      <c r="J758" s="9" t="str">
        <f>IF(H758="","",IF(I758="já",H758-Stillingar!$B$3,H758))</f>
        <v/>
      </c>
      <c r="N758" s="10"/>
      <c r="P758" s="10"/>
      <c r="S758" s="10"/>
      <c r="U758" s="11"/>
    </row>
    <row r="759" spans="8:21" x14ac:dyDescent="0.2">
      <c r="H759" s="7"/>
      <c r="I759" s="8" t="str">
        <f>IF(H759="","",IF(AND(OR(K759="rafmagn",K759="vetni"),H759&lt;Stillingar!$B$2),"já","nei"))</f>
        <v/>
      </c>
      <c r="J759" s="9" t="str">
        <f>IF(H759="","",IF(I759="já",H759-Stillingar!$B$3,H759))</f>
        <v/>
      </c>
      <c r="N759" s="10"/>
      <c r="P759" s="10"/>
      <c r="S759" s="10"/>
      <c r="U759" s="11"/>
    </row>
    <row r="760" spans="8:21" x14ac:dyDescent="0.2">
      <c r="H760" s="7"/>
      <c r="I760" s="8" t="str">
        <f>IF(H760="","",IF(AND(OR(K760="rafmagn",K760="vetni"),H760&lt;Stillingar!$B$2),"já","nei"))</f>
        <v/>
      </c>
      <c r="J760" s="9" t="str">
        <f>IF(H760="","",IF(I760="já",H760-Stillingar!$B$3,H760))</f>
        <v/>
      </c>
      <c r="N760" s="10"/>
      <c r="P760" s="10"/>
      <c r="S760" s="10"/>
      <c r="U760" s="11"/>
    </row>
    <row r="761" spans="8:21" x14ac:dyDescent="0.2">
      <c r="H761" s="7"/>
      <c r="I761" s="8" t="str">
        <f>IF(H761="","",IF(AND(OR(K761="rafmagn",K761="vetni"),H761&lt;Stillingar!$B$2),"já","nei"))</f>
        <v/>
      </c>
      <c r="J761" s="9" t="str">
        <f>IF(H761="","",IF(I761="já",H761-Stillingar!$B$3,H761))</f>
        <v/>
      </c>
      <c r="N761" s="10"/>
      <c r="P761" s="10"/>
      <c r="S761" s="10"/>
      <c r="U761" s="11"/>
    </row>
    <row r="762" spans="8:21" x14ac:dyDescent="0.2">
      <c r="H762" s="7"/>
      <c r="I762" s="8" t="str">
        <f>IF(H762="","",IF(AND(OR(K762="rafmagn",K762="vetni"),H762&lt;Stillingar!$B$2),"já","nei"))</f>
        <v/>
      </c>
      <c r="J762" s="9" t="str">
        <f>IF(H762="","",IF(I762="já",H762-Stillingar!$B$3,H762))</f>
        <v/>
      </c>
      <c r="N762" s="10"/>
      <c r="P762" s="10"/>
      <c r="S762" s="10"/>
      <c r="U762" s="11"/>
    </row>
    <row r="763" spans="8:21" x14ac:dyDescent="0.2">
      <c r="H763" s="7"/>
      <c r="I763" s="8" t="str">
        <f>IF(H763="","",IF(AND(OR(K763="rafmagn",K763="vetni"),H763&lt;Stillingar!$B$2),"já","nei"))</f>
        <v/>
      </c>
      <c r="J763" s="9" t="str">
        <f>IF(H763="","",IF(I763="já",H763-Stillingar!$B$3,H763))</f>
        <v/>
      </c>
      <c r="N763" s="10"/>
      <c r="P763" s="10"/>
      <c r="S763" s="10"/>
      <c r="U763" s="11"/>
    </row>
    <row r="764" spans="8:21" x14ac:dyDescent="0.2">
      <c r="H764" s="7"/>
      <c r="I764" s="8" t="str">
        <f>IF(H764="","",IF(AND(OR(K764="rafmagn",K764="vetni"),H764&lt;Stillingar!$B$2),"já","nei"))</f>
        <v/>
      </c>
      <c r="J764" s="9" t="str">
        <f>IF(H764="","",IF(I764="já",H764-Stillingar!$B$3,H764))</f>
        <v/>
      </c>
      <c r="N764" s="10"/>
      <c r="P764" s="10"/>
      <c r="S764" s="10"/>
      <c r="U764" s="11"/>
    </row>
    <row r="765" spans="8:21" x14ac:dyDescent="0.2">
      <c r="H765" s="7"/>
      <c r="I765" s="8" t="str">
        <f>IF(H765="","",IF(AND(OR(K765="rafmagn",K765="vetni"),H765&lt;Stillingar!$B$2),"já","nei"))</f>
        <v/>
      </c>
      <c r="J765" s="9" t="str">
        <f>IF(H765="","",IF(I765="já",H765-Stillingar!$B$3,H765))</f>
        <v/>
      </c>
      <c r="N765" s="10"/>
      <c r="P765" s="10"/>
      <c r="S765" s="10"/>
      <c r="U765" s="11"/>
    </row>
    <row r="766" spans="8:21" x14ac:dyDescent="0.2">
      <c r="H766" s="7"/>
      <c r="I766" s="8" t="str">
        <f>IF(H766="","",IF(AND(OR(K766="rafmagn",K766="vetni"),H766&lt;Stillingar!$B$2),"já","nei"))</f>
        <v/>
      </c>
      <c r="J766" s="9" t="str">
        <f>IF(H766="","",IF(I766="já",H766-Stillingar!$B$3,H766))</f>
        <v/>
      </c>
      <c r="N766" s="10"/>
      <c r="P766" s="10"/>
      <c r="S766" s="10"/>
      <c r="U766" s="11"/>
    </row>
    <row r="767" spans="8:21" x14ac:dyDescent="0.2">
      <c r="H767" s="7"/>
      <c r="I767" s="8" t="str">
        <f>IF(H767="","",IF(AND(OR(K767="rafmagn",K767="vetni"),H767&lt;Stillingar!$B$2),"já","nei"))</f>
        <v/>
      </c>
      <c r="J767" s="9" t="str">
        <f>IF(H767="","",IF(I767="já",H767-Stillingar!$B$3,H767))</f>
        <v/>
      </c>
      <c r="N767" s="10"/>
      <c r="P767" s="10"/>
      <c r="S767" s="10"/>
      <c r="U767" s="11"/>
    </row>
    <row r="768" spans="8:21" x14ac:dyDescent="0.2">
      <c r="H768" s="7"/>
      <c r="I768" s="8" t="str">
        <f>IF(H768="","",IF(AND(OR(K768="rafmagn",K768="vetni"),H768&lt;Stillingar!$B$2),"já","nei"))</f>
        <v/>
      </c>
      <c r="J768" s="9" t="str">
        <f>IF(H768="","",IF(I768="já",H768-Stillingar!$B$3,H768))</f>
        <v/>
      </c>
      <c r="N768" s="10"/>
      <c r="P768" s="10"/>
      <c r="S768" s="10"/>
      <c r="U768" s="11"/>
    </row>
    <row r="769" spans="8:21" x14ac:dyDescent="0.2">
      <c r="H769" s="7"/>
      <c r="I769" s="8" t="str">
        <f>IF(H769="","",IF(AND(OR(K769="rafmagn",K769="vetni"),H769&lt;Stillingar!$B$2),"já","nei"))</f>
        <v/>
      </c>
      <c r="J769" s="9" t="str">
        <f>IF(H769="","",IF(I769="já",H769-Stillingar!$B$3,H769))</f>
        <v/>
      </c>
      <c r="N769" s="10"/>
      <c r="P769" s="10"/>
      <c r="S769" s="10"/>
      <c r="U769" s="11"/>
    </row>
    <row r="770" spans="8:21" x14ac:dyDescent="0.2">
      <c r="H770" s="7"/>
      <c r="I770" s="8" t="str">
        <f>IF(H770="","",IF(AND(OR(K770="rafmagn",K770="vetni"),H770&lt;Stillingar!$B$2),"já","nei"))</f>
        <v/>
      </c>
      <c r="J770" s="9" t="str">
        <f>IF(H770="","",IF(I770="já",H770-Stillingar!$B$3,H770))</f>
        <v/>
      </c>
      <c r="N770" s="10"/>
      <c r="P770" s="10"/>
      <c r="S770" s="10"/>
      <c r="U770" s="11"/>
    </row>
    <row r="771" spans="8:21" x14ac:dyDescent="0.2">
      <c r="H771" s="7"/>
      <c r="I771" s="8" t="str">
        <f>IF(H771="","",IF(AND(OR(K771="rafmagn",K771="vetni"),H771&lt;Stillingar!$B$2),"já","nei"))</f>
        <v/>
      </c>
      <c r="J771" s="9" t="str">
        <f>IF(H771="","",IF(I771="já",H771-Stillingar!$B$3,H771))</f>
        <v/>
      </c>
      <c r="N771" s="10"/>
      <c r="P771" s="10"/>
      <c r="S771" s="10"/>
      <c r="U771" s="11"/>
    </row>
    <row r="772" spans="8:21" x14ac:dyDescent="0.2">
      <c r="H772" s="7"/>
      <c r="I772" s="8" t="str">
        <f>IF(H772="","",IF(AND(OR(K772="rafmagn",K772="vetni"),H772&lt;Stillingar!$B$2),"já","nei"))</f>
        <v/>
      </c>
      <c r="J772" s="9" t="str">
        <f>IF(H772="","",IF(I772="já",H772-Stillingar!$B$3,H772))</f>
        <v/>
      </c>
      <c r="N772" s="10"/>
      <c r="P772" s="10"/>
      <c r="S772" s="10"/>
      <c r="U772" s="11"/>
    </row>
    <row r="773" spans="8:21" x14ac:dyDescent="0.2">
      <c r="H773" s="7"/>
      <c r="I773" s="8" t="str">
        <f>IF(H773="","",IF(AND(OR(K773="rafmagn",K773="vetni"),H773&lt;Stillingar!$B$2),"já","nei"))</f>
        <v/>
      </c>
      <c r="J773" s="9" t="str">
        <f>IF(H773="","",IF(I773="já",H773-Stillingar!$B$3,H773))</f>
        <v/>
      </c>
      <c r="N773" s="10"/>
      <c r="P773" s="10"/>
      <c r="S773" s="10"/>
      <c r="U773" s="11"/>
    </row>
    <row r="774" spans="8:21" x14ac:dyDescent="0.2">
      <c r="H774" s="7"/>
      <c r="I774" s="8" t="str">
        <f>IF(H774="","",IF(AND(OR(K774="rafmagn",K774="vetni"),H774&lt;Stillingar!$B$2),"já","nei"))</f>
        <v/>
      </c>
      <c r="J774" s="9" t="str">
        <f>IF(H774="","",IF(I774="já",H774-Stillingar!$B$3,H774))</f>
        <v/>
      </c>
      <c r="N774" s="10"/>
      <c r="P774" s="10"/>
      <c r="S774" s="10"/>
      <c r="U774" s="11"/>
    </row>
    <row r="775" spans="8:21" x14ac:dyDescent="0.2">
      <c r="H775" s="7"/>
      <c r="I775" s="8" t="str">
        <f>IF(H775="","",IF(AND(OR(K775="rafmagn",K775="vetni"),H775&lt;Stillingar!$B$2),"já","nei"))</f>
        <v/>
      </c>
      <c r="J775" s="9" t="str">
        <f>IF(H775="","",IF(I775="já",H775-Stillingar!$B$3,H775))</f>
        <v/>
      </c>
      <c r="N775" s="10"/>
      <c r="P775" s="10"/>
      <c r="S775" s="10"/>
      <c r="U775" s="11"/>
    </row>
    <row r="776" spans="8:21" x14ac:dyDescent="0.2">
      <c r="H776" s="7"/>
      <c r="I776" s="8" t="str">
        <f>IF(H776="","",IF(AND(OR(K776="rafmagn",K776="vetni"),H776&lt;Stillingar!$B$2),"já","nei"))</f>
        <v/>
      </c>
      <c r="J776" s="9" t="str">
        <f>IF(H776="","",IF(I776="já",H776-Stillingar!$B$3,H776))</f>
        <v/>
      </c>
      <c r="N776" s="10"/>
      <c r="P776" s="10"/>
      <c r="S776" s="10"/>
      <c r="U776" s="11"/>
    </row>
    <row r="777" spans="8:21" x14ac:dyDescent="0.2">
      <c r="H777" s="7"/>
      <c r="I777" s="8" t="str">
        <f>IF(H777="","",IF(AND(OR(K777="rafmagn",K777="vetni"),H777&lt;Stillingar!$B$2),"já","nei"))</f>
        <v/>
      </c>
      <c r="J777" s="9" t="str">
        <f>IF(H777="","",IF(I777="já",H777-Stillingar!$B$3,H777))</f>
        <v/>
      </c>
      <c r="N777" s="10"/>
      <c r="P777" s="10"/>
      <c r="S777" s="10"/>
      <c r="U777" s="11"/>
    </row>
    <row r="778" spans="8:21" x14ac:dyDescent="0.2">
      <c r="H778" s="7"/>
      <c r="I778" s="8" t="str">
        <f>IF(H778="","",IF(AND(OR(K778="rafmagn",K778="vetni"),H778&lt;Stillingar!$B$2),"já","nei"))</f>
        <v/>
      </c>
      <c r="J778" s="9" t="str">
        <f>IF(H778="","",IF(I778="já",H778-Stillingar!$B$3,H778))</f>
        <v/>
      </c>
      <c r="N778" s="10"/>
      <c r="P778" s="10"/>
      <c r="S778" s="10"/>
      <c r="U778" s="11"/>
    </row>
    <row r="779" spans="8:21" x14ac:dyDescent="0.2">
      <c r="H779" s="7"/>
      <c r="I779" s="8" t="str">
        <f>IF(H779="","",IF(AND(OR(K779="rafmagn",K779="vetni"),H779&lt;Stillingar!$B$2),"já","nei"))</f>
        <v/>
      </c>
      <c r="J779" s="9" t="str">
        <f>IF(H779="","",IF(I779="já",H779-Stillingar!$B$3,H779))</f>
        <v/>
      </c>
      <c r="N779" s="10"/>
      <c r="P779" s="10"/>
      <c r="S779" s="10"/>
      <c r="U779" s="11"/>
    </row>
    <row r="780" spans="8:21" x14ac:dyDescent="0.2">
      <c r="H780" s="7"/>
      <c r="I780" s="8" t="str">
        <f>IF(H780="","",IF(AND(OR(K780="rafmagn",K780="vetni"),H780&lt;Stillingar!$B$2),"já","nei"))</f>
        <v/>
      </c>
      <c r="J780" s="9" t="str">
        <f>IF(H780="","",IF(I780="já",H780-Stillingar!$B$3,H780))</f>
        <v/>
      </c>
      <c r="N780" s="10"/>
      <c r="P780" s="10"/>
      <c r="S780" s="10"/>
      <c r="U780" s="11"/>
    </row>
    <row r="781" spans="8:21" x14ac:dyDescent="0.2">
      <c r="H781" s="7"/>
      <c r="I781" s="8" t="str">
        <f>IF(H781="","",IF(AND(OR(K781="rafmagn",K781="vetni"),H781&lt;Stillingar!$B$2),"já","nei"))</f>
        <v/>
      </c>
      <c r="J781" s="9" t="str">
        <f>IF(H781="","",IF(I781="já",H781-Stillingar!$B$3,H781))</f>
        <v/>
      </c>
      <c r="N781" s="10"/>
      <c r="P781" s="10"/>
      <c r="S781" s="10"/>
      <c r="U781" s="11"/>
    </row>
    <row r="782" spans="8:21" x14ac:dyDescent="0.2">
      <c r="H782" s="7"/>
      <c r="I782" s="8" t="str">
        <f>IF(H782="","",IF(AND(OR(K782="rafmagn",K782="vetni"),H782&lt;Stillingar!$B$2),"já","nei"))</f>
        <v/>
      </c>
      <c r="J782" s="9" t="str">
        <f>IF(H782="","",IF(I782="já",H782-Stillingar!$B$3,H782))</f>
        <v/>
      </c>
      <c r="N782" s="10"/>
      <c r="P782" s="10"/>
      <c r="S782" s="10"/>
      <c r="U782" s="11"/>
    </row>
    <row r="783" spans="8:21" x14ac:dyDescent="0.2">
      <c r="H783" s="7"/>
      <c r="I783" s="8" t="str">
        <f>IF(H783="","",IF(AND(OR(K783="rafmagn",K783="vetni"),H783&lt;Stillingar!$B$2),"já","nei"))</f>
        <v/>
      </c>
      <c r="J783" s="9" t="str">
        <f>IF(H783="","",IF(I783="já",H783-Stillingar!$B$3,H783))</f>
        <v/>
      </c>
      <c r="N783" s="10"/>
      <c r="P783" s="10"/>
      <c r="S783" s="10"/>
      <c r="U783" s="11"/>
    </row>
    <row r="784" spans="8:21" x14ac:dyDescent="0.2">
      <c r="H784" s="7"/>
      <c r="I784" s="8" t="str">
        <f>IF(H784="","",IF(AND(OR(K784="rafmagn",K784="vetni"),H784&lt;Stillingar!$B$2),"já","nei"))</f>
        <v/>
      </c>
      <c r="J784" s="9" t="str">
        <f>IF(H784="","",IF(I784="já",H784-Stillingar!$B$3,H784))</f>
        <v/>
      </c>
      <c r="N784" s="10"/>
      <c r="P784" s="10"/>
      <c r="S784" s="10"/>
      <c r="U784" s="11"/>
    </row>
    <row r="785" spans="8:21" x14ac:dyDescent="0.2">
      <c r="H785" s="7"/>
      <c r="I785" s="8" t="str">
        <f>IF(H785="","",IF(AND(OR(K785="rafmagn",K785="vetni"),H785&lt;Stillingar!$B$2),"já","nei"))</f>
        <v/>
      </c>
      <c r="J785" s="9" t="str">
        <f>IF(H785="","",IF(I785="já",H785-Stillingar!$B$3,H785))</f>
        <v/>
      </c>
      <c r="N785" s="10"/>
      <c r="P785" s="10"/>
      <c r="S785" s="10"/>
      <c r="U785" s="11"/>
    </row>
    <row r="786" spans="8:21" x14ac:dyDescent="0.2">
      <c r="H786" s="7"/>
      <c r="I786" s="8" t="str">
        <f>IF(H786="","",IF(AND(OR(K786="rafmagn",K786="vetni"),H786&lt;Stillingar!$B$2),"já","nei"))</f>
        <v/>
      </c>
      <c r="J786" s="9" t="str">
        <f>IF(H786="","",IF(I786="já",H786-Stillingar!$B$3,H786))</f>
        <v/>
      </c>
      <c r="N786" s="10"/>
      <c r="P786" s="10"/>
      <c r="S786" s="10"/>
      <c r="U786" s="11"/>
    </row>
    <row r="787" spans="8:21" x14ac:dyDescent="0.2">
      <c r="H787" s="7"/>
      <c r="I787" s="8" t="str">
        <f>IF(H787="","",IF(AND(OR(K787="rafmagn",K787="vetni"),H787&lt;Stillingar!$B$2),"já","nei"))</f>
        <v/>
      </c>
      <c r="J787" s="9" t="str">
        <f>IF(H787="","",IF(I787="já",H787-Stillingar!$B$3,H787))</f>
        <v/>
      </c>
      <c r="N787" s="10"/>
      <c r="P787" s="10"/>
      <c r="S787" s="10"/>
      <c r="U787" s="11"/>
    </row>
    <row r="788" spans="8:21" x14ac:dyDescent="0.2">
      <c r="H788" s="7"/>
      <c r="I788" s="8" t="str">
        <f>IF(H788="","",IF(AND(OR(K788="rafmagn",K788="vetni"),H788&lt;Stillingar!$B$2),"já","nei"))</f>
        <v/>
      </c>
      <c r="J788" s="9" t="str">
        <f>IF(H788="","",IF(I788="já",H788-Stillingar!$B$3,H788))</f>
        <v/>
      </c>
      <c r="N788" s="10"/>
      <c r="P788" s="10"/>
      <c r="S788" s="10"/>
      <c r="U788" s="11"/>
    </row>
    <row r="789" spans="8:21" x14ac:dyDescent="0.2">
      <c r="H789" s="7"/>
      <c r="I789" s="8" t="str">
        <f>IF(H789="","",IF(AND(OR(K789="rafmagn",K789="vetni"),H789&lt;Stillingar!$B$2),"já","nei"))</f>
        <v/>
      </c>
      <c r="J789" s="9" t="str">
        <f>IF(H789="","",IF(I789="já",H789-Stillingar!$B$3,H789))</f>
        <v/>
      </c>
      <c r="N789" s="10"/>
      <c r="P789" s="10"/>
      <c r="S789" s="10"/>
      <c r="U789" s="11"/>
    </row>
    <row r="790" spans="8:21" x14ac:dyDescent="0.2">
      <c r="H790" s="7"/>
      <c r="I790" s="8" t="str">
        <f>IF(H790="","",IF(AND(OR(K790="rafmagn",K790="vetni"),H790&lt;Stillingar!$B$2),"já","nei"))</f>
        <v/>
      </c>
      <c r="J790" s="9" t="str">
        <f>IF(H790="","",IF(I790="já",H790-Stillingar!$B$3,H790))</f>
        <v/>
      </c>
      <c r="N790" s="10"/>
      <c r="P790" s="10"/>
      <c r="S790" s="10"/>
      <c r="U790" s="11"/>
    </row>
    <row r="791" spans="8:21" x14ac:dyDescent="0.2">
      <c r="H791" s="7"/>
      <c r="I791" s="8" t="str">
        <f>IF(H791="","",IF(AND(OR(K791="rafmagn",K791="vetni"),H791&lt;Stillingar!$B$2),"já","nei"))</f>
        <v/>
      </c>
      <c r="J791" s="9" t="str">
        <f>IF(H791="","",IF(I791="já",H791-Stillingar!$B$3,H791))</f>
        <v/>
      </c>
      <c r="N791" s="10"/>
      <c r="P791" s="10"/>
      <c r="S791" s="10"/>
      <c r="U791" s="11"/>
    </row>
    <row r="792" spans="8:21" x14ac:dyDescent="0.2">
      <c r="H792" s="7"/>
      <c r="I792" s="8" t="str">
        <f>IF(H792="","",IF(AND(OR(K792="rafmagn",K792="vetni"),H792&lt;Stillingar!$B$2),"já","nei"))</f>
        <v/>
      </c>
      <c r="J792" s="9" t="str">
        <f>IF(H792="","",IF(I792="já",H792-Stillingar!$B$3,H792))</f>
        <v/>
      </c>
      <c r="N792" s="10"/>
      <c r="P792" s="10"/>
      <c r="S792" s="10"/>
      <c r="U792" s="11"/>
    </row>
    <row r="793" spans="8:21" x14ac:dyDescent="0.2">
      <c r="H793" s="7"/>
      <c r="I793" s="8" t="str">
        <f>IF(H793="","",IF(AND(OR(K793="rafmagn",K793="vetni"),H793&lt;Stillingar!$B$2),"já","nei"))</f>
        <v/>
      </c>
      <c r="J793" s="9" t="str">
        <f>IF(H793="","",IF(I793="já",H793-Stillingar!$B$3,H793))</f>
        <v/>
      </c>
      <c r="N793" s="10"/>
      <c r="P793" s="10"/>
      <c r="S793" s="10"/>
      <c r="U793" s="11"/>
    </row>
    <row r="794" spans="8:21" x14ac:dyDescent="0.2">
      <c r="H794" s="7"/>
      <c r="I794" s="8" t="str">
        <f>IF(H794="","",IF(AND(OR(K794="rafmagn",K794="vetni"),H794&lt;Stillingar!$B$2),"já","nei"))</f>
        <v/>
      </c>
      <c r="J794" s="9" t="str">
        <f>IF(H794="","",IF(I794="já",H794-Stillingar!$B$3,H794))</f>
        <v/>
      </c>
      <c r="N794" s="10"/>
      <c r="P794" s="10"/>
      <c r="S794" s="10"/>
      <c r="U794" s="11"/>
    </row>
    <row r="795" spans="8:21" x14ac:dyDescent="0.2">
      <c r="H795" s="7"/>
      <c r="I795" s="8" t="str">
        <f>IF(H795="","",IF(AND(OR(K795="rafmagn",K795="vetni"),H795&lt;Stillingar!$B$2),"já","nei"))</f>
        <v/>
      </c>
      <c r="J795" s="9" t="str">
        <f>IF(H795="","",IF(I795="já",H795-Stillingar!$B$3,H795))</f>
        <v/>
      </c>
      <c r="N795" s="10"/>
      <c r="P795" s="10"/>
      <c r="S795" s="10"/>
      <c r="U795" s="11"/>
    </row>
    <row r="796" spans="8:21" x14ac:dyDescent="0.2">
      <c r="H796" s="7"/>
      <c r="I796" s="8" t="str">
        <f>IF(H796="","",IF(AND(OR(K796="rafmagn",K796="vetni"),H796&lt;Stillingar!$B$2),"já","nei"))</f>
        <v/>
      </c>
      <c r="J796" s="9" t="str">
        <f>IF(H796="","",IF(I796="já",H796-Stillingar!$B$3,H796))</f>
        <v/>
      </c>
      <c r="N796" s="10"/>
      <c r="P796" s="10"/>
      <c r="S796" s="10"/>
      <c r="U796" s="11"/>
    </row>
    <row r="797" spans="8:21" x14ac:dyDescent="0.2">
      <c r="H797" s="7"/>
      <c r="I797" s="8" t="str">
        <f>IF(H797="","",IF(AND(OR(K797="rafmagn",K797="vetni"),H797&lt;Stillingar!$B$2),"já","nei"))</f>
        <v/>
      </c>
      <c r="J797" s="9" t="str">
        <f>IF(H797="","",IF(I797="já",H797-Stillingar!$B$3,H797))</f>
        <v/>
      </c>
      <c r="N797" s="10"/>
      <c r="P797" s="10"/>
      <c r="S797" s="10"/>
      <c r="U797" s="11"/>
    </row>
    <row r="798" spans="8:21" x14ac:dyDescent="0.2">
      <c r="H798" s="7"/>
      <c r="I798" s="8" t="str">
        <f>IF(H798="","",IF(AND(OR(K798="rafmagn",K798="vetni"),H798&lt;Stillingar!$B$2),"já","nei"))</f>
        <v/>
      </c>
      <c r="J798" s="9" t="str">
        <f>IF(H798="","",IF(I798="já",H798-Stillingar!$B$3,H798))</f>
        <v/>
      </c>
      <c r="N798" s="10"/>
      <c r="P798" s="10"/>
      <c r="S798" s="10"/>
      <c r="U798" s="11"/>
    </row>
    <row r="799" spans="8:21" x14ac:dyDescent="0.2">
      <c r="H799" s="7"/>
      <c r="I799" s="8" t="str">
        <f>IF(H799="","",IF(AND(OR(K799="rafmagn",K799="vetni"),H799&lt;Stillingar!$B$2),"já","nei"))</f>
        <v/>
      </c>
      <c r="J799" s="9" t="str">
        <f>IF(H799="","",IF(I799="já",H799-Stillingar!$B$3,H799))</f>
        <v/>
      </c>
      <c r="N799" s="10"/>
      <c r="P799" s="10"/>
      <c r="S799" s="10"/>
      <c r="U799" s="11"/>
    </row>
    <row r="800" spans="8:21" x14ac:dyDescent="0.2">
      <c r="H800" s="7"/>
      <c r="I800" s="8" t="str">
        <f>IF(H800="","",IF(AND(OR(K800="rafmagn",K800="vetni"),H800&lt;Stillingar!$B$2),"já","nei"))</f>
        <v/>
      </c>
      <c r="J800" s="9" t="str">
        <f>IF(H800="","",IF(I800="já",H800-Stillingar!$B$3,H800))</f>
        <v/>
      </c>
      <c r="N800" s="10"/>
      <c r="P800" s="10"/>
      <c r="S800" s="10"/>
      <c r="U800" s="11"/>
    </row>
    <row r="801" spans="8:21" x14ac:dyDescent="0.2">
      <c r="H801" s="7"/>
      <c r="I801" s="8" t="str">
        <f>IF(H801="","",IF(AND(OR(K801="rafmagn",K801="vetni"),H801&lt;Stillingar!$B$2),"já","nei"))</f>
        <v/>
      </c>
      <c r="J801" s="9" t="str">
        <f>IF(H801="","",IF(I801="já",H801-Stillingar!$B$3,H801))</f>
        <v/>
      </c>
      <c r="N801" s="10"/>
      <c r="P801" s="10"/>
      <c r="S801" s="10"/>
      <c r="U801" s="11"/>
    </row>
    <row r="802" spans="8:21" x14ac:dyDescent="0.2">
      <c r="H802" s="7"/>
      <c r="I802" s="8" t="str">
        <f>IF(H802="","",IF(AND(OR(K802="rafmagn",K802="vetni"),H802&lt;Stillingar!$B$2),"já","nei"))</f>
        <v/>
      </c>
      <c r="J802" s="9" t="str">
        <f>IF(H802="","",IF(I802="já",H802-Stillingar!$B$3,H802))</f>
        <v/>
      </c>
      <c r="N802" s="10"/>
      <c r="P802" s="10"/>
      <c r="S802" s="10"/>
      <c r="U802" s="11"/>
    </row>
    <row r="803" spans="8:21" x14ac:dyDescent="0.2">
      <c r="H803" s="7"/>
      <c r="I803" s="8" t="str">
        <f>IF(H803="","",IF(AND(OR(K803="rafmagn",K803="vetni"),H803&lt;Stillingar!$B$2),"já","nei"))</f>
        <v/>
      </c>
      <c r="J803" s="9" t="str">
        <f>IF(H803="","",IF(I803="já",H803-Stillingar!$B$3,H803))</f>
        <v/>
      </c>
      <c r="N803" s="10"/>
      <c r="P803" s="10"/>
      <c r="S803" s="10"/>
      <c r="U803" s="11"/>
    </row>
    <row r="804" spans="8:21" x14ac:dyDescent="0.2">
      <c r="H804" s="7"/>
      <c r="I804" s="8" t="str">
        <f>IF(H804="","",IF(AND(OR(K804="rafmagn",K804="vetni"),H804&lt;Stillingar!$B$2),"já","nei"))</f>
        <v/>
      </c>
      <c r="J804" s="9" t="str">
        <f>IF(H804="","",IF(I804="já",H804-Stillingar!$B$3,H804))</f>
        <v/>
      </c>
      <c r="N804" s="10"/>
      <c r="P804" s="10"/>
      <c r="S804" s="10"/>
      <c r="U804" s="11"/>
    </row>
    <row r="805" spans="8:21" x14ac:dyDescent="0.2">
      <c r="H805" s="7"/>
      <c r="I805" s="8" t="str">
        <f>IF(H805="","",IF(AND(OR(K805="rafmagn",K805="vetni"),H805&lt;Stillingar!$B$2),"já","nei"))</f>
        <v/>
      </c>
      <c r="J805" s="9" t="str">
        <f>IF(H805="","",IF(I805="já",H805-Stillingar!$B$3,H805))</f>
        <v/>
      </c>
      <c r="N805" s="10"/>
      <c r="P805" s="10"/>
      <c r="S805" s="10"/>
      <c r="U805" s="11"/>
    </row>
    <row r="806" spans="8:21" x14ac:dyDescent="0.2">
      <c r="H806" s="7"/>
      <c r="I806" s="8" t="str">
        <f>IF(H806="","",IF(AND(OR(K806="rafmagn",K806="vetni"),H806&lt;Stillingar!$B$2),"já","nei"))</f>
        <v/>
      </c>
      <c r="J806" s="9" t="str">
        <f>IF(H806="","",IF(I806="já",H806-Stillingar!$B$3,H806))</f>
        <v/>
      </c>
      <c r="N806" s="10"/>
      <c r="P806" s="10"/>
      <c r="S806" s="10"/>
      <c r="U806" s="11"/>
    </row>
    <row r="807" spans="8:21" x14ac:dyDescent="0.2">
      <c r="H807" s="7"/>
      <c r="I807" s="8" t="str">
        <f>IF(H807="","",IF(AND(OR(K807="rafmagn",K807="vetni"),H807&lt;Stillingar!$B$2),"já","nei"))</f>
        <v/>
      </c>
      <c r="J807" s="9" t="str">
        <f>IF(H807="","",IF(I807="já",H807-Stillingar!$B$3,H807))</f>
        <v/>
      </c>
      <c r="N807" s="10"/>
      <c r="P807" s="10"/>
      <c r="S807" s="10"/>
      <c r="U807" s="11"/>
    </row>
    <row r="808" spans="8:21" x14ac:dyDescent="0.2">
      <c r="H808" s="7"/>
      <c r="I808" s="8" t="str">
        <f>IF(H808="","",IF(AND(OR(K808="rafmagn",K808="vetni"),H808&lt;Stillingar!$B$2),"já","nei"))</f>
        <v/>
      </c>
      <c r="J808" s="9" t="str">
        <f>IF(H808="","",IF(I808="já",H808-Stillingar!$B$3,H808))</f>
        <v/>
      </c>
      <c r="N808" s="10"/>
      <c r="P808" s="10"/>
      <c r="S808" s="10"/>
      <c r="U808" s="11"/>
    </row>
    <row r="809" spans="8:21" x14ac:dyDescent="0.2">
      <c r="H809" s="7"/>
      <c r="I809" s="8" t="str">
        <f>IF(H809="","",IF(AND(OR(K809="rafmagn",K809="vetni"),H809&lt;Stillingar!$B$2),"já","nei"))</f>
        <v/>
      </c>
      <c r="J809" s="9" t="str">
        <f>IF(H809="","",IF(I809="já",H809-Stillingar!$B$3,H809))</f>
        <v/>
      </c>
      <c r="N809" s="10"/>
      <c r="P809" s="10"/>
      <c r="S809" s="10"/>
      <c r="U809" s="11"/>
    </row>
    <row r="810" spans="8:21" x14ac:dyDescent="0.2">
      <c r="H810" s="7"/>
      <c r="I810" s="8" t="str">
        <f>IF(H810="","",IF(AND(OR(K810="rafmagn",K810="vetni"),H810&lt;Stillingar!$B$2),"já","nei"))</f>
        <v/>
      </c>
      <c r="J810" s="9" t="str">
        <f>IF(H810="","",IF(I810="já",H810-Stillingar!$B$3,H810))</f>
        <v/>
      </c>
      <c r="N810" s="10"/>
      <c r="P810" s="10"/>
      <c r="S810" s="10"/>
      <c r="U810" s="11"/>
    </row>
    <row r="811" spans="8:21" x14ac:dyDescent="0.2">
      <c r="H811" s="7"/>
      <c r="I811" s="8" t="str">
        <f>IF(H811="","",IF(AND(OR(K811="rafmagn",K811="vetni"),H811&lt;Stillingar!$B$2),"já","nei"))</f>
        <v/>
      </c>
      <c r="J811" s="9" t="str">
        <f>IF(H811="","",IF(I811="já",H811-Stillingar!$B$3,H811))</f>
        <v/>
      </c>
      <c r="N811" s="10"/>
      <c r="P811" s="10"/>
      <c r="S811" s="10"/>
      <c r="U811" s="11"/>
    </row>
    <row r="812" spans="8:21" x14ac:dyDescent="0.2">
      <c r="H812" s="7"/>
      <c r="I812" s="8" t="str">
        <f>IF(H812="","",IF(AND(OR(K812="rafmagn",K812="vetni"),H812&lt;Stillingar!$B$2),"já","nei"))</f>
        <v/>
      </c>
      <c r="J812" s="9" t="str">
        <f>IF(H812="","",IF(I812="já",H812-Stillingar!$B$3,H812))</f>
        <v/>
      </c>
      <c r="N812" s="10"/>
      <c r="P812" s="10"/>
      <c r="S812" s="10"/>
      <c r="U812" s="11"/>
    </row>
    <row r="813" spans="8:21" x14ac:dyDescent="0.2">
      <c r="H813" s="7"/>
      <c r="I813" s="8" t="str">
        <f>IF(H813="","",IF(AND(OR(K813="rafmagn",K813="vetni"),H813&lt;Stillingar!$B$2),"já","nei"))</f>
        <v/>
      </c>
      <c r="J813" s="9" t="str">
        <f>IF(H813="","",IF(I813="já",H813-Stillingar!$B$3,H813))</f>
        <v/>
      </c>
      <c r="N813" s="10"/>
      <c r="P813" s="10"/>
      <c r="S813" s="10"/>
      <c r="U813" s="11"/>
    </row>
    <row r="814" spans="8:21" x14ac:dyDescent="0.2">
      <c r="H814" s="7"/>
      <c r="I814" s="8" t="str">
        <f>IF(H814="","",IF(AND(OR(K814="rafmagn",K814="vetni"),H814&lt;Stillingar!$B$2),"já","nei"))</f>
        <v/>
      </c>
      <c r="J814" s="9" t="str">
        <f>IF(H814="","",IF(I814="já",H814-Stillingar!$B$3,H814))</f>
        <v/>
      </c>
      <c r="N814" s="10"/>
      <c r="P814" s="10"/>
      <c r="S814" s="10"/>
      <c r="U814" s="11"/>
    </row>
    <row r="815" spans="8:21" x14ac:dyDescent="0.2">
      <c r="H815" s="7"/>
      <c r="I815" s="8" t="str">
        <f>IF(H815="","",IF(AND(OR(K815="rafmagn",K815="vetni"),H815&lt;Stillingar!$B$2),"já","nei"))</f>
        <v/>
      </c>
      <c r="J815" s="9" t="str">
        <f>IF(H815="","",IF(I815="já",H815-Stillingar!$B$3,H815))</f>
        <v/>
      </c>
      <c r="N815" s="10"/>
      <c r="P815" s="10"/>
      <c r="S815" s="10"/>
      <c r="U815" s="11"/>
    </row>
    <row r="816" spans="8:21" x14ac:dyDescent="0.2">
      <c r="H816" s="7"/>
      <c r="I816" s="8" t="str">
        <f>IF(H816="","",IF(AND(OR(K816="rafmagn",K816="vetni"),H816&lt;Stillingar!$B$2),"já","nei"))</f>
        <v/>
      </c>
      <c r="J816" s="9" t="str">
        <f>IF(H816="","",IF(I816="já",H816-Stillingar!$B$3,H816))</f>
        <v/>
      </c>
      <c r="N816" s="10"/>
      <c r="P816" s="10"/>
      <c r="S816" s="10"/>
      <c r="U816" s="11"/>
    </row>
    <row r="817" spans="8:21" x14ac:dyDescent="0.2">
      <c r="H817" s="7"/>
      <c r="I817" s="8" t="str">
        <f>IF(H817="","",IF(AND(OR(K817="rafmagn",K817="vetni"),H817&lt;Stillingar!$B$2),"já","nei"))</f>
        <v/>
      </c>
      <c r="J817" s="9" t="str">
        <f>IF(H817="","",IF(I817="já",H817-Stillingar!$B$3,H817))</f>
        <v/>
      </c>
      <c r="N817" s="10"/>
      <c r="P817" s="10"/>
      <c r="S817" s="10"/>
      <c r="U817" s="11"/>
    </row>
    <row r="818" spans="8:21" x14ac:dyDescent="0.2">
      <c r="H818" s="7"/>
      <c r="I818" s="8" t="str">
        <f>IF(H818="","",IF(AND(OR(K818="rafmagn",K818="vetni"),H818&lt;Stillingar!$B$2),"já","nei"))</f>
        <v/>
      </c>
      <c r="J818" s="9" t="str">
        <f>IF(H818="","",IF(I818="já",H818-Stillingar!$B$3,H818))</f>
        <v/>
      </c>
      <c r="N818" s="10"/>
      <c r="P818" s="10"/>
      <c r="S818" s="10"/>
      <c r="U818" s="11"/>
    </row>
    <row r="819" spans="8:21" x14ac:dyDescent="0.2">
      <c r="H819" s="7"/>
      <c r="I819" s="8" t="str">
        <f>IF(H819="","",IF(AND(OR(K819="rafmagn",K819="vetni"),H819&lt;Stillingar!$B$2),"já","nei"))</f>
        <v/>
      </c>
      <c r="J819" s="9" t="str">
        <f>IF(H819="","",IF(I819="já",H819-Stillingar!$B$3,H819))</f>
        <v/>
      </c>
      <c r="N819" s="10"/>
      <c r="P819" s="10"/>
      <c r="S819" s="10"/>
      <c r="U819" s="11"/>
    </row>
    <row r="820" spans="8:21" x14ac:dyDescent="0.2">
      <c r="H820" s="7"/>
      <c r="I820" s="8" t="str">
        <f>IF(H820="","",IF(AND(OR(K820="rafmagn",K820="vetni"),H820&lt;Stillingar!$B$2),"já","nei"))</f>
        <v/>
      </c>
      <c r="J820" s="9" t="str">
        <f>IF(H820="","",IF(I820="já",H820-Stillingar!$B$3,H820))</f>
        <v/>
      </c>
      <c r="N820" s="10"/>
      <c r="P820" s="10"/>
      <c r="S820" s="10"/>
      <c r="U820" s="11"/>
    </row>
    <row r="821" spans="8:21" x14ac:dyDescent="0.2">
      <c r="H821" s="7"/>
      <c r="I821" s="8" t="str">
        <f>IF(H821="","",IF(AND(OR(K821="rafmagn",K821="vetni"),H821&lt;Stillingar!$B$2),"já","nei"))</f>
        <v/>
      </c>
      <c r="J821" s="9" t="str">
        <f>IF(H821="","",IF(I821="já",H821-Stillingar!$B$3,H821))</f>
        <v/>
      </c>
      <c r="N821" s="10"/>
      <c r="P821" s="10"/>
      <c r="S821" s="10"/>
      <c r="U821" s="11"/>
    </row>
    <row r="822" spans="8:21" x14ac:dyDescent="0.2">
      <c r="H822" s="7"/>
      <c r="I822" s="8" t="str">
        <f>IF(H822="","",IF(AND(OR(K822="rafmagn",K822="vetni"),H822&lt;Stillingar!$B$2),"já","nei"))</f>
        <v/>
      </c>
      <c r="J822" s="9" t="str">
        <f>IF(H822="","",IF(I822="já",H822-Stillingar!$B$3,H822))</f>
        <v/>
      </c>
      <c r="N822" s="10"/>
      <c r="P822" s="10"/>
      <c r="S822" s="10"/>
      <c r="U822" s="11"/>
    </row>
    <row r="823" spans="8:21" x14ac:dyDescent="0.2">
      <c r="H823" s="7"/>
      <c r="I823" s="8" t="str">
        <f>IF(H823="","",IF(AND(OR(K823="rafmagn",K823="vetni"),H823&lt;Stillingar!$B$2),"já","nei"))</f>
        <v/>
      </c>
      <c r="J823" s="9" t="str">
        <f>IF(H823="","",IF(I823="já",H823-Stillingar!$B$3,H823))</f>
        <v/>
      </c>
      <c r="N823" s="10"/>
      <c r="P823" s="10"/>
      <c r="S823" s="10"/>
      <c r="U823" s="11"/>
    </row>
    <row r="824" spans="8:21" x14ac:dyDescent="0.2">
      <c r="H824" s="7"/>
      <c r="I824" s="8" t="str">
        <f>IF(H824="","",IF(AND(OR(K824="rafmagn",K824="vetni"),H824&lt;Stillingar!$B$2),"já","nei"))</f>
        <v/>
      </c>
      <c r="J824" s="9" t="str">
        <f>IF(H824="","",IF(I824="já",H824-Stillingar!$B$3,H824))</f>
        <v/>
      </c>
      <c r="N824" s="10"/>
      <c r="P824" s="10"/>
      <c r="S824" s="10"/>
      <c r="U824" s="11"/>
    </row>
    <row r="825" spans="8:21" x14ac:dyDescent="0.2">
      <c r="H825" s="7"/>
      <c r="I825" s="8" t="str">
        <f>IF(H825="","",IF(AND(OR(K825="rafmagn",K825="vetni"),H825&lt;Stillingar!$B$2),"já","nei"))</f>
        <v/>
      </c>
      <c r="J825" s="9" t="str">
        <f>IF(H825="","",IF(I825="já",H825-Stillingar!$B$3,H825))</f>
        <v/>
      </c>
      <c r="N825" s="10"/>
      <c r="P825" s="10"/>
      <c r="S825" s="10"/>
      <c r="U825" s="11"/>
    </row>
    <row r="826" spans="8:21" x14ac:dyDescent="0.2">
      <c r="H826" s="7"/>
      <c r="I826" s="8" t="str">
        <f>IF(H826="","",IF(AND(OR(K826="rafmagn",K826="vetni"),H826&lt;Stillingar!$B$2),"já","nei"))</f>
        <v/>
      </c>
      <c r="J826" s="9" t="str">
        <f>IF(H826="","",IF(I826="já",H826-Stillingar!$B$3,H826))</f>
        <v/>
      </c>
      <c r="N826" s="10"/>
      <c r="P826" s="10"/>
      <c r="S826" s="10"/>
      <c r="U826" s="11"/>
    </row>
    <row r="827" spans="8:21" x14ac:dyDescent="0.2">
      <c r="H827" s="7"/>
      <c r="I827" s="8" t="str">
        <f>IF(H827="","",IF(AND(OR(K827="rafmagn",K827="vetni"),H827&lt;Stillingar!$B$2),"já","nei"))</f>
        <v/>
      </c>
      <c r="J827" s="9" t="str">
        <f>IF(H827="","",IF(I827="já",H827-Stillingar!$B$3,H827))</f>
        <v/>
      </c>
      <c r="N827" s="10"/>
      <c r="P827" s="10"/>
      <c r="S827" s="10"/>
      <c r="U827" s="11"/>
    </row>
    <row r="828" spans="8:21" x14ac:dyDescent="0.2">
      <c r="H828" s="7"/>
      <c r="I828" s="8" t="str">
        <f>IF(H828="","",IF(AND(OR(K828="rafmagn",K828="vetni"),H828&lt;Stillingar!$B$2),"já","nei"))</f>
        <v/>
      </c>
      <c r="J828" s="9" t="str">
        <f>IF(H828="","",IF(I828="já",H828-Stillingar!$B$3,H828))</f>
        <v/>
      </c>
      <c r="N828" s="10"/>
      <c r="P828" s="10"/>
      <c r="S828" s="10"/>
      <c r="U828" s="11"/>
    </row>
    <row r="829" spans="8:21" x14ac:dyDescent="0.2">
      <c r="H829" s="7"/>
      <c r="I829" s="8" t="str">
        <f>IF(H829="","",IF(AND(OR(K829="rafmagn",K829="vetni"),H829&lt;Stillingar!$B$2),"já","nei"))</f>
        <v/>
      </c>
      <c r="J829" s="9" t="str">
        <f>IF(H829="","",IF(I829="já",H829-Stillingar!$B$3,H829))</f>
        <v/>
      </c>
      <c r="N829" s="10"/>
      <c r="P829" s="10"/>
      <c r="S829" s="10"/>
      <c r="U829" s="11"/>
    </row>
    <row r="830" spans="8:21" x14ac:dyDescent="0.2">
      <c r="H830" s="7"/>
      <c r="I830" s="8" t="str">
        <f>IF(H830="","",IF(AND(OR(K830="rafmagn",K830="vetni"),H830&lt;Stillingar!$B$2),"já","nei"))</f>
        <v/>
      </c>
      <c r="J830" s="9" t="str">
        <f>IF(H830="","",IF(I830="já",H830-Stillingar!$B$3,H830))</f>
        <v/>
      </c>
      <c r="N830" s="10"/>
      <c r="P830" s="10"/>
      <c r="S830" s="10"/>
      <c r="U830" s="11"/>
    </row>
    <row r="831" spans="8:21" x14ac:dyDescent="0.2">
      <c r="H831" s="7"/>
      <c r="I831" s="8" t="str">
        <f>IF(H831="","",IF(AND(OR(K831="rafmagn",K831="vetni"),H831&lt;Stillingar!$B$2),"já","nei"))</f>
        <v/>
      </c>
      <c r="J831" s="9" t="str">
        <f>IF(H831="","",IF(I831="já",H831-Stillingar!$B$3,H831))</f>
        <v/>
      </c>
      <c r="N831" s="10"/>
      <c r="P831" s="10"/>
      <c r="S831" s="10"/>
      <c r="U831" s="11"/>
    </row>
    <row r="832" spans="8:21" x14ac:dyDescent="0.2">
      <c r="H832" s="7"/>
      <c r="I832" s="8" t="str">
        <f>IF(H832="","",IF(AND(OR(K832="rafmagn",K832="vetni"),H832&lt;Stillingar!$B$2),"já","nei"))</f>
        <v/>
      </c>
      <c r="J832" s="9" t="str">
        <f>IF(H832="","",IF(I832="já",H832-Stillingar!$B$3,H832))</f>
        <v/>
      </c>
      <c r="N832" s="10"/>
      <c r="P832" s="10"/>
      <c r="S832" s="10"/>
      <c r="U832" s="11"/>
    </row>
    <row r="833" spans="8:21" x14ac:dyDescent="0.2">
      <c r="H833" s="7"/>
      <c r="I833" s="8" t="str">
        <f>IF(H833="","",IF(AND(OR(K833="rafmagn",K833="vetni"),H833&lt;Stillingar!$B$2),"já","nei"))</f>
        <v/>
      </c>
      <c r="J833" s="9" t="str">
        <f>IF(H833="","",IF(I833="já",H833-Stillingar!$B$3,H833))</f>
        <v/>
      </c>
      <c r="N833" s="10"/>
      <c r="P833" s="10"/>
      <c r="S833" s="10"/>
      <c r="U833" s="11"/>
    </row>
    <row r="834" spans="8:21" x14ac:dyDescent="0.2">
      <c r="H834" s="7"/>
      <c r="I834" s="8" t="str">
        <f>IF(H834="","",IF(AND(OR(K834="rafmagn",K834="vetni"),H834&lt;Stillingar!$B$2),"já","nei"))</f>
        <v/>
      </c>
      <c r="J834" s="9" t="str">
        <f>IF(H834="","",IF(I834="já",H834-Stillingar!$B$3,H834))</f>
        <v/>
      </c>
      <c r="N834" s="10"/>
      <c r="P834" s="10"/>
      <c r="S834" s="10"/>
      <c r="U834" s="11"/>
    </row>
    <row r="835" spans="8:21" x14ac:dyDescent="0.2">
      <c r="H835" s="7"/>
      <c r="I835" s="8" t="str">
        <f>IF(H835="","",IF(AND(OR(K835="rafmagn",K835="vetni"),H835&lt;Stillingar!$B$2),"já","nei"))</f>
        <v/>
      </c>
      <c r="J835" s="9" t="str">
        <f>IF(H835="","",IF(I835="já",H835-Stillingar!$B$3,H835))</f>
        <v/>
      </c>
      <c r="N835" s="10"/>
      <c r="P835" s="10"/>
      <c r="S835" s="10"/>
      <c r="U835" s="11"/>
    </row>
    <row r="836" spans="8:21" x14ac:dyDescent="0.2">
      <c r="H836" s="7"/>
      <c r="I836" s="8" t="str">
        <f>IF(H836="","",IF(AND(OR(K836="rafmagn",K836="vetni"),H836&lt;Stillingar!$B$2),"já","nei"))</f>
        <v/>
      </c>
      <c r="J836" s="9" t="str">
        <f>IF(H836="","",IF(I836="já",H836-Stillingar!$B$3,H836))</f>
        <v/>
      </c>
      <c r="N836" s="10"/>
      <c r="P836" s="10"/>
      <c r="S836" s="10"/>
      <c r="U836" s="11"/>
    </row>
    <row r="837" spans="8:21" x14ac:dyDescent="0.2">
      <c r="H837" s="7"/>
      <c r="I837" s="8" t="str">
        <f>IF(H837="","",IF(AND(OR(K837="rafmagn",K837="vetni"),H837&lt;Stillingar!$B$2),"já","nei"))</f>
        <v/>
      </c>
      <c r="J837" s="9" t="str">
        <f>IF(H837="","",IF(I837="já",H837-Stillingar!$B$3,H837))</f>
        <v/>
      </c>
      <c r="N837" s="10"/>
      <c r="P837" s="10"/>
      <c r="S837" s="10"/>
      <c r="U837" s="11"/>
    </row>
    <row r="838" spans="8:21" x14ac:dyDescent="0.2">
      <c r="H838" s="7"/>
      <c r="I838" s="8" t="str">
        <f>IF(H838="","",IF(AND(OR(K838="rafmagn",K838="vetni"),H838&lt;Stillingar!$B$2),"já","nei"))</f>
        <v/>
      </c>
      <c r="J838" s="9" t="str">
        <f>IF(H838="","",IF(I838="já",H838-Stillingar!$B$3,H838))</f>
        <v/>
      </c>
      <c r="N838" s="10"/>
      <c r="P838" s="10"/>
      <c r="S838" s="10"/>
      <c r="U838" s="11"/>
    </row>
    <row r="839" spans="8:21" x14ac:dyDescent="0.2">
      <c r="H839" s="7"/>
      <c r="I839" s="8" t="str">
        <f>IF(H839="","",IF(AND(OR(K839="rafmagn",K839="vetni"),H839&lt;Stillingar!$B$2),"já","nei"))</f>
        <v/>
      </c>
      <c r="J839" s="9" t="str">
        <f>IF(H839="","",IF(I839="já",H839-Stillingar!$B$3,H839))</f>
        <v/>
      </c>
      <c r="N839" s="10"/>
      <c r="P839" s="10"/>
      <c r="S839" s="10"/>
      <c r="U839" s="11"/>
    </row>
    <row r="840" spans="8:21" x14ac:dyDescent="0.2">
      <c r="H840" s="7"/>
      <c r="I840" s="8" t="str">
        <f>IF(H840="","",IF(AND(OR(K840="rafmagn",K840="vetni"),H840&lt;Stillingar!$B$2),"já","nei"))</f>
        <v/>
      </c>
      <c r="J840" s="9" t="str">
        <f>IF(H840="","",IF(I840="já",H840-Stillingar!$B$3,H840))</f>
        <v/>
      </c>
      <c r="N840" s="10"/>
      <c r="P840" s="10"/>
      <c r="S840" s="10"/>
      <c r="U840" s="11"/>
    </row>
    <row r="841" spans="8:21" x14ac:dyDescent="0.2">
      <c r="H841" s="7"/>
      <c r="I841" s="8" t="str">
        <f>IF(H841="","",IF(AND(OR(K841="rafmagn",K841="vetni"),H841&lt;Stillingar!$B$2),"já","nei"))</f>
        <v/>
      </c>
      <c r="J841" s="9" t="str">
        <f>IF(H841="","",IF(I841="já",H841-Stillingar!$B$3,H841))</f>
        <v/>
      </c>
      <c r="N841" s="10"/>
      <c r="P841" s="10"/>
      <c r="S841" s="10"/>
      <c r="U841" s="11"/>
    </row>
    <row r="842" spans="8:21" x14ac:dyDescent="0.2">
      <c r="H842" s="7"/>
      <c r="I842" s="8" t="str">
        <f>IF(H842="","",IF(AND(OR(K842="rafmagn",K842="vetni"),H842&lt;Stillingar!$B$2),"já","nei"))</f>
        <v/>
      </c>
      <c r="J842" s="9" t="str">
        <f>IF(H842="","",IF(I842="já",H842-Stillingar!$B$3,H842))</f>
        <v/>
      </c>
      <c r="N842" s="10"/>
      <c r="P842" s="10"/>
      <c r="S842" s="10"/>
      <c r="U842" s="11"/>
    </row>
    <row r="843" spans="8:21" x14ac:dyDescent="0.2">
      <c r="H843" s="7"/>
      <c r="I843" s="8" t="str">
        <f>IF(H843="","",IF(AND(OR(K843="rafmagn",K843="vetni"),H843&lt;Stillingar!$B$2),"já","nei"))</f>
        <v/>
      </c>
      <c r="J843" s="9" t="str">
        <f>IF(H843="","",IF(I843="já",H843-Stillingar!$B$3,H843))</f>
        <v/>
      </c>
      <c r="N843" s="10"/>
      <c r="P843" s="10"/>
      <c r="S843" s="10"/>
      <c r="U843" s="11"/>
    </row>
    <row r="844" spans="8:21" x14ac:dyDescent="0.2">
      <c r="H844" s="7"/>
      <c r="I844" s="8" t="str">
        <f>IF(H844="","",IF(AND(OR(K844="rafmagn",K844="vetni"),H844&lt;Stillingar!$B$2),"já","nei"))</f>
        <v/>
      </c>
      <c r="J844" s="9" t="str">
        <f>IF(H844="","",IF(I844="já",H844-Stillingar!$B$3,H844))</f>
        <v/>
      </c>
      <c r="N844" s="10"/>
      <c r="P844" s="10"/>
      <c r="S844" s="10"/>
      <c r="U844" s="11"/>
    </row>
    <row r="845" spans="8:21" x14ac:dyDescent="0.2">
      <c r="H845" s="7"/>
      <c r="I845" s="8" t="str">
        <f>IF(H845="","",IF(AND(OR(K845="rafmagn",K845="vetni"),H845&lt;Stillingar!$B$2),"já","nei"))</f>
        <v/>
      </c>
      <c r="J845" s="9" t="str">
        <f>IF(H845="","",IF(I845="já",H845-Stillingar!$B$3,H845))</f>
        <v/>
      </c>
      <c r="N845" s="10"/>
      <c r="P845" s="10"/>
      <c r="S845" s="10"/>
      <c r="U845" s="11"/>
    </row>
    <row r="846" spans="8:21" x14ac:dyDescent="0.2">
      <c r="H846" s="7"/>
      <c r="I846" s="8" t="str">
        <f>IF(H846="","",IF(AND(OR(K846="rafmagn",K846="vetni"),H846&lt;Stillingar!$B$2),"já","nei"))</f>
        <v/>
      </c>
      <c r="J846" s="9" t="str">
        <f>IF(H846="","",IF(I846="já",H846-Stillingar!$B$3,H846))</f>
        <v/>
      </c>
      <c r="N846" s="10"/>
      <c r="P846" s="10"/>
      <c r="S846" s="10"/>
      <c r="U846" s="11"/>
    </row>
    <row r="847" spans="8:21" x14ac:dyDescent="0.2">
      <c r="H847" s="7"/>
      <c r="I847" s="8" t="str">
        <f>IF(H847="","",IF(AND(OR(K847="rafmagn",K847="vetni"),H847&lt;Stillingar!$B$2),"já","nei"))</f>
        <v/>
      </c>
      <c r="J847" s="9" t="str">
        <f>IF(H847="","",IF(I847="já",H847-Stillingar!$B$3,H847))</f>
        <v/>
      </c>
      <c r="N847" s="10"/>
      <c r="P847" s="10"/>
      <c r="S847" s="10"/>
      <c r="U847" s="11"/>
    </row>
    <row r="848" spans="8:21" x14ac:dyDescent="0.2">
      <c r="H848" s="7"/>
      <c r="I848" s="8" t="str">
        <f>IF(H848="","",IF(AND(OR(K848="rafmagn",K848="vetni"),H848&lt;Stillingar!$B$2),"já","nei"))</f>
        <v/>
      </c>
      <c r="J848" s="9" t="str">
        <f>IF(H848="","",IF(I848="já",H848-Stillingar!$B$3,H848))</f>
        <v/>
      </c>
      <c r="N848" s="10"/>
      <c r="P848" s="10"/>
      <c r="S848" s="10"/>
      <c r="U848" s="11"/>
    </row>
    <row r="849" spans="8:21" x14ac:dyDescent="0.2">
      <c r="H849" s="7"/>
      <c r="I849" s="8" t="str">
        <f>IF(H849="","",IF(AND(OR(K849="rafmagn",K849="vetni"),H849&lt;Stillingar!$B$2),"já","nei"))</f>
        <v/>
      </c>
      <c r="J849" s="9" t="str">
        <f>IF(H849="","",IF(I849="já",H849-Stillingar!$B$3,H849))</f>
        <v/>
      </c>
      <c r="N849" s="10"/>
      <c r="P849" s="10"/>
      <c r="S849" s="10"/>
      <c r="U849" s="11"/>
    </row>
    <row r="850" spans="8:21" x14ac:dyDescent="0.2">
      <c r="H850" s="7"/>
      <c r="I850" s="8" t="str">
        <f>IF(H850="","",IF(AND(OR(K850="rafmagn",K850="vetni"),H850&lt;Stillingar!$B$2),"já","nei"))</f>
        <v/>
      </c>
      <c r="J850" s="9" t="str">
        <f>IF(H850="","",IF(I850="já",H850-Stillingar!$B$3,H850))</f>
        <v/>
      </c>
      <c r="N850" s="10"/>
      <c r="P850" s="10"/>
      <c r="S850" s="10"/>
      <c r="U850" s="11"/>
    </row>
    <row r="851" spans="8:21" x14ac:dyDescent="0.2">
      <c r="H851" s="7"/>
      <c r="I851" s="8" t="str">
        <f>IF(H851="","",IF(AND(OR(K851="rafmagn",K851="vetni"),H851&lt;Stillingar!$B$2),"já","nei"))</f>
        <v/>
      </c>
      <c r="J851" s="9" t="str">
        <f>IF(H851="","",IF(I851="já",H851-Stillingar!$B$3,H851))</f>
        <v/>
      </c>
      <c r="N851" s="10"/>
      <c r="P851" s="10"/>
      <c r="S851" s="10"/>
      <c r="U851" s="11"/>
    </row>
    <row r="852" spans="8:21" x14ac:dyDescent="0.2">
      <c r="H852" s="7"/>
      <c r="I852" s="8" t="str">
        <f>IF(H852="","",IF(AND(OR(K852="rafmagn",K852="vetni"),H852&lt;Stillingar!$B$2),"já","nei"))</f>
        <v/>
      </c>
      <c r="J852" s="9" t="str">
        <f>IF(H852="","",IF(I852="já",H852-Stillingar!$B$3,H852))</f>
        <v/>
      </c>
      <c r="N852" s="10"/>
      <c r="P852" s="10"/>
      <c r="S852" s="10"/>
      <c r="U852" s="11"/>
    </row>
    <row r="853" spans="8:21" x14ac:dyDescent="0.2">
      <c r="H853" s="7"/>
      <c r="I853" s="8" t="str">
        <f>IF(H853="","",IF(AND(OR(K853="rafmagn",K853="vetni"),H853&lt;Stillingar!$B$2),"já","nei"))</f>
        <v/>
      </c>
      <c r="J853" s="9" t="str">
        <f>IF(H853="","",IF(I853="já",H853-Stillingar!$B$3,H853))</f>
        <v/>
      </c>
      <c r="N853" s="10"/>
      <c r="P853" s="10"/>
      <c r="S853" s="10"/>
      <c r="U853" s="11"/>
    </row>
    <row r="854" spans="8:21" x14ac:dyDescent="0.2">
      <c r="H854" s="7"/>
      <c r="I854" s="8" t="str">
        <f>IF(H854="","",IF(AND(OR(K854="rafmagn",K854="vetni"),H854&lt;Stillingar!$B$2),"já","nei"))</f>
        <v/>
      </c>
      <c r="J854" s="9" t="str">
        <f>IF(H854="","",IF(I854="já",H854-Stillingar!$B$3,H854))</f>
        <v/>
      </c>
      <c r="N854" s="10"/>
      <c r="P854" s="10"/>
      <c r="S854" s="10"/>
      <c r="U854" s="11"/>
    </row>
    <row r="855" spans="8:21" x14ac:dyDescent="0.2">
      <c r="H855" s="7"/>
      <c r="I855" s="8" t="str">
        <f>IF(H855="","",IF(AND(OR(K855="rafmagn",K855="vetni"),H855&lt;Stillingar!$B$2),"já","nei"))</f>
        <v/>
      </c>
      <c r="J855" s="9" t="str">
        <f>IF(H855="","",IF(I855="já",H855-Stillingar!$B$3,H855))</f>
        <v/>
      </c>
      <c r="N855" s="10"/>
      <c r="P855" s="10"/>
      <c r="S855" s="10"/>
      <c r="U855" s="11"/>
    </row>
    <row r="856" spans="8:21" x14ac:dyDescent="0.2">
      <c r="H856" s="7"/>
      <c r="I856" s="8" t="str">
        <f>IF(H856="","",IF(AND(OR(K856="rafmagn",K856="vetni"),H856&lt;Stillingar!$B$2),"já","nei"))</f>
        <v/>
      </c>
      <c r="J856" s="9" t="str">
        <f>IF(H856="","",IF(I856="já",H856-Stillingar!$B$3,H856))</f>
        <v/>
      </c>
      <c r="N856" s="10"/>
      <c r="P856" s="10"/>
      <c r="S856" s="10"/>
      <c r="U856" s="11"/>
    </row>
    <row r="857" spans="8:21" x14ac:dyDescent="0.2">
      <c r="H857" s="7"/>
      <c r="I857" s="8" t="str">
        <f>IF(H857="","",IF(AND(OR(K857="rafmagn",K857="vetni"),H857&lt;Stillingar!$B$2),"já","nei"))</f>
        <v/>
      </c>
      <c r="J857" s="9" t="str">
        <f>IF(H857="","",IF(I857="já",H857-Stillingar!$B$3,H857))</f>
        <v/>
      </c>
      <c r="N857" s="10"/>
      <c r="P857" s="10"/>
      <c r="S857" s="10"/>
      <c r="U857" s="11"/>
    </row>
    <row r="858" spans="8:21" x14ac:dyDescent="0.2">
      <c r="H858" s="7"/>
      <c r="I858" s="8" t="str">
        <f>IF(H858="","",IF(AND(OR(K858="rafmagn",K858="vetni"),H858&lt;Stillingar!$B$2),"já","nei"))</f>
        <v/>
      </c>
      <c r="J858" s="9" t="str">
        <f>IF(H858="","",IF(I858="já",H858-Stillingar!$B$3,H858))</f>
        <v/>
      </c>
      <c r="N858" s="10"/>
      <c r="P858" s="10"/>
      <c r="S858" s="10"/>
      <c r="U858" s="11"/>
    </row>
    <row r="859" spans="8:21" x14ac:dyDescent="0.2">
      <c r="H859" s="7"/>
      <c r="I859" s="8" t="str">
        <f>IF(H859="","",IF(AND(OR(K859="rafmagn",K859="vetni"),H859&lt;Stillingar!$B$2),"já","nei"))</f>
        <v/>
      </c>
      <c r="J859" s="9" t="str">
        <f>IF(H859="","",IF(I859="já",H859-Stillingar!$B$3,H859))</f>
        <v/>
      </c>
      <c r="N859" s="10"/>
      <c r="P859" s="10"/>
      <c r="S859" s="10"/>
      <c r="U859" s="11"/>
    </row>
    <row r="860" spans="8:21" x14ac:dyDescent="0.2">
      <c r="H860" s="7"/>
      <c r="I860" s="8" t="str">
        <f>IF(H860="","",IF(AND(OR(K860="rafmagn",K860="vetni"),H860&lt;Stillingar!$B$2),"já","nei"))</f>
        <v/>
      </c>
      <c r="J860" s="9" t="str">
        <f>IF(H860="","",IF(I860="já",H860-Stillingar!$B$3,H860))</f>
        <v/>
      </c>
      <c r="N860" s="10"/>
      <c r="P860" s="10"/>
      <c r="S860" s="10"/>
      <c r="U860" s="11"/>
    </row>
    <row r="861" spans="8:21" x14ac:dyDescent="0.2">
      <c r="H861" s="7"/>
      <c r="I861" s="8" t="str">
        <f>IF(H861="","",IF(AND(OR(K861="rafmagn",K861="vetni"),H861&lt;Stillingar!$B$2),"já","nei"))</f>
        <v/>
      </c>
      <c r="J861" s="9" t="str">
        <f>IF(H861="","",IF(I861="já",H861-Stillingar!$B$3,H861))</f>
        <v/>
      </c>
      <c r="N861" s="10"/>
      <c r="P861" s="10"/>
      <c r="S861" s="10"/>
      <c r="U861" s="11"/>
    </row>
    <row r="862" spans="8:21" x14ac:dyDescent="0.2">
      <c r="H862" s="7"/>
      <c r="I862" s="8" t="str">
        <f>IF(H862="","",IF(AND(OR(K862="rafmagn",K862="vetni"),H862&lt;Stillingar!$B$2),"já","nei"))</f>
        <v/>
      </c>
      <c r="J862" s="9" t="str">
        <f>IF(H862="","",IF(I862="já",H862-Stillingar!$B$3,H862))</f>
        <v/>
      </c>
      <c r="N862" s="10"/>
      <c r="P862" s="10"/>
      <c r="S862" s="10"/>
      <c r="U862" s="11"/>
    </row>
    <row r="863" spans="8:21" x14ac:dyDescent="0.2">
      <c r="H863" s="7"/>
      <c r="I863" s="8" t="str">
        <f>IF(H863="","",IF(AND(OR(K863="rafmagn",K863="vetni"),H863&lt;Stillingar!$B$2),"já","nei"))</f>
        <v/>
      </c>
      <c r="J863" s="9" t="str">
        <f>IF(H863="","",IF(I863="já",H863-Stillingar!$B$3,H863))</f>
        <v/>
      </c>
      <c r="N863" s="10"/>
      <c r="P863" s="10"/>
      <c r="S863" s="10"/>
      <c r="U863" s="11"/>
    </row>
    <row r="864" spans="8:21" x14ac:dyDescent="0.2">
      <c r="H864" s="7"/>
      <c r="I864" s="8" t="str">
        <f>IF(H864="","",IF(AND(OR(K864="rafmagn",K864="vetni"),H864&lt;Stillingar!$B$2),"já","nei"))</f>
        <v/>
      </c>
      <c r="J864" s="9" t="str">
        <f>IF(H864="","",IF(I864="já",H864-Stillingar!$B$3,H864))</f>
        <v/>
      </c>
      <c r="N864" s="10"/>
      <c r="P864" s="10"/>
      <c r="S864" s="10"/>
      <c r="U864" s="11"/>
    </row>
    <row r="865" spans="8:21" x14ac:dyDescent="0.2">
      <c r="H865" s="7"/>
      <c r="I865" s="8" t="str">
        <f>IF(H865="","",IF(AND(OR(K865="rafmagn",K865="vetni"),H865&lt;Stillingar!$B$2),"já","nei"))</f>
        <v/>
      </c>
      <c r="J865" s="9" t="str">
        <f>IF(H865="","",IF(I865="já",H865-Stillingar!$B$3,H865))</f>
        <v/>
      </c>
      <c r="N865" s="10"/>
      <c r="P865" s="10"/>
      <c r="S865" s="10"/>
      <c r="U865" s="11"/>
    </row>
    <row r="866" spans="8:21" x14ac:dyDescent="0.2">
      <c r="H866" s="7"/>
      <c r="I866" s="8" t="str">
        <f>IF(H866="","",IF(AND(OR(K866="rafmagn",K866="vetni"),H866&lt;Stillingar!$B$2),"já","nei"))</f>
        <v/>
      </c>
      <c r="J866" s="9" t="str">
        <f>IF(H866="","",IF(I866="já",H866-Stillingar!$B$3,H866))</f>
        <v/>
      </c>
      <c r="N866" s="10"/>
      <c r="P866" s="10"/>
      <c r="S866" s="10"/>
      <c r="U866" s="11"/>
    </row>
    <row r="867" spans="8:21" x14ac:dyDescent="0.2">
      <c r="H867" s="7"/>
      <c r="I867" s="8" t="str">
        <f>IF(H867="","",IF(AND(OR(K867="rafmagn",K867="vetni"),H867&lt;Stillingar!$B$2),"já","nei"))</f>
        <v/>
      </c>
      <c r="J867" s="9" t="str">
        <f>IF(H867="","",IF(I867="já",H867-Stillingar!$B$3,H867))</f>
        <v/>
      </c>
      <c r="N867" s="10"/>
      <c r="P867" s="10"/>
      <c r="S867" s="10"/>
      <c r="U867" s="11"/>
    </row>
    <row r="868" spans="8:21" x14ac:dyDescent="0.2">
      <c r="H868" s="7"/>
      <c r="I868" s="8" t="str">
        <f>IF(H868="","",IF(AND(OR(K868="rafmagn",K868="vetni"),H868&lt;Stillingar!$B$2),"já","nei"))</f>
        <v/>
      </c>
      <c r="J868" s="9" t="str">
        <f>IF(H868="","",IF(I868="já",H868-Stillingar!$B$3,H868))</f>
        <v/>
      </c>
      <c r="N868" s="10"/>
      <c r="P868" s="10"/>
      <c r="S868" s="10"/>
      <c r="U868" s="11"/>
    </row>
    <row r="869" spans="8:21" x14ac:dyDescent="0.2">
      <c r="H869" s="7"/>
      <c r="I869" s="8" t="str">
        <f>IF(H869="","",IF(AND(OR(K869="rafmagn",K869="vetni"),H869&lt;Stillingar!$B$2),"já","nei"))</f>
        <v/>
      </c>
      <c r="J869" s="9" t="str">
        <f>IF(H869="","",IF(I869="já",H869-Stillingar!$B$3,H869))</f>
        <v/>
      </c>
      <c r="N869" s="10"/>
      <c r="P869" s="10"/>
      <c r="S869" s="10"/>
      <c r="U869" s="11"/>
    </row>
    <row r="870" spans="8:21" x14ac:dyDescent="0.2">
      <c r="H870" s="7"/>
      <c r="I870" s="8" t="str">
        <f>IF(H870="","",IF(AND(OR(K870="rafmagn",K870="vetni"),H870&lt;Stillingar!$B$2),"já","nei"))</f>
        <v/>
      </c>
      <c r="J870" s="9" t="str">
        <f>IF(H870="","",IF(I870="já",H870-Stillingar!$B$3,H870))</f>
        <v/>
      </c>
      <c r="N870" s="10"/>
      <c r="P870" s="10"/>
      <c r="S870" s="10"/>
      <c r="U870" s="11"/>
    </row>
    <row r="871" spans="8:21" x14ac:dyDescent="0.2">
      <c r="H871" s="7"/>
      <c r="I871" s="8" t="str">
        <f>IF(H871="","",IF(AND(OR(K871="rafmagn",K871="vetni"),H871&lt;Stillingar!$B$2),"já","nei"))</f>
        <v/>
      </c>
      <c r="J871" s="9" t="str">
        <f>IF(H871="","",IF(I871="já",H871-Stillingar!$B$3,H871))</f>
        <v/>
      </c>
      <c r="N871" s="10"/>
      <c r="P871" s="10"/>
      <c r="S871" s="10"/>
      <c r="U871" s="11"/>
    </row>
    <row r="872" spans="8:21" x14ac:dyDescent="0.2">
      <c r="H872" s="7"/>
      <c r="I872" s="8" t="str">
        <f>IF(H872="","",IF(AND(OR(K872="rafmagn",K872="vetni"),H872&lt;Stillingar!$B$2),"já","nei"))</f>
        <v/>
      </c>
      <c r="J872" s="9" t="str">
        <f>IF(H872="","",IF(I872="já",H872-Stillingar!$B$3,H872))</f>
        <v/>
      </c>
      <c r="N872" s="10"/>
      <c r="P872" s="10"/>
      <c r="S872" s="10"/>
      <c r="U872" s="11"/>
    </row>
    <row r="873" spans="8:21" x14ac:dyDescent="0.2">
      <c r="H873" s="7"/>
      <c r="I873" s="8" t="str">
        <f>IF(H873="","",IF(AND(OR(K873="rafmagn",K873="vetni"),H873&lt;Stillingar!$B$2),"já","nei"))</f>
        <v/>
      </c>
      <c r="J873" s="9" t="str">
        <f>IF(H873="","",IF(I873="já",H873-Stillingar!$B$3,H873))</f>
        <v/>
      </c>
      <c r="N873" s="10"/>
      <c r="P873" s="10"/>
      <c r="S873" s="10"/>
      <c r="U873" s="11"/>
    </row>
    <row r="874" spans="8:21" x14ac:dyDescent="0.2">
      <c r="H874" s="7"/>
      <c r="I874" s="8" t="str">
        <f>IF(H874="","",IF(AND(OR(K874="rafmagn",K874="vetni"),H874&lt;Stillingar!$B$2),"já","nei"))</f>
        <v/>
      </c>
      <c r="J874" s="9" t="str">
        <f>IF(H874="","",IF(I874="já",H874-Stillingar!$B$3,H874))</f>
        <v/>
      </c>
      <c r="N874" s="10"/>
      <c r="P874" s="10"/>
      <c r="S874" s="10"/>
      <c r="U874" s="11"/>
    </row>
    <row r="875" spans="8:21" x14ac:dyDescent="0.2">
      <c r="H875" s="7"/>
      <c r="I875" s="8" t="str">
        <f>IF(H875="","",IF(AND(OR(K875="rafmagn",K875="vetni"),H875&lt;Stillingar!$B$2),"já","nei"))</f>
        <v/>
      </c>
      <c r="J875" s="9" t="str">
        <f>IF(H875="","",IF(I875="já",H875-Stillingar!$B$3,H875))</f>
        <v/>
      </c>
      <c r="N875" s="10"/>
      <c r="P875" s="10"/>
      <c r="S875" s="10"/>
      <c r="U875" s="11"/>
    </row>
    <row r="876" spans="8:21" x14ac:dyDescent="0.2">
      <c r="H876" s="7"/>
      <c r="I876" s="8" t="str">
        <f>IF(H876="","",IF(AND(OR(K876="rafmagn",K876="vetni"),H876&lt;Stillingar!$B$2),"já","nei"))</f>
        <v/>
      </c>
      <c r="J876" s="9" t="str">
        <f>IF(H876="","",IF(I876="já",H876-Stillingar!$B$3,H876))</f>
        <v/>
      </c>
      <c r="N876" s="10"/>
      <c r="P876" s="10"/>
      <c r="S876" s="10"/>
      <c r="U876" s="11"/>
    </row>
    <row r="877" spans="8:21" x14ac:dyDescent="0.2">
      <c r="H877" s="7"/>
      <c r="I877" s="8" t="str">
        <f>IF(H877="","",IF(AND(OR(K877="rafmagn",K877="vetni"),H877&lt;Stillingar!$B$2),"já","nei"))</f>
        <v/>
      </c>
      <c r="J877" s="9" t="str">
        <f>IF(H877="","",IF(I877="já",H877-Stillingar!$B$3,H877))</f>
        <v/>
      </c>
      <c r="N877" s="10"/>
      <c r="P877" s="10"/>
      <c r="S877" s="10"/>
      <c r="U877" s="11"/>
    </row>
    <row r="878" spans="8:21" x14ac:dyDescent="0.2">
      <c r="H878" s="7"/>
      <c r="I878" s="8" t="str">
        <f>IF(H878="","",IF(AND(OR(K878="rafmagn",K878="vetni"),H878&lt;Stillingar!$B$2),"já","nei"))</f>
        <v/>
      </c>
      <c r="J878" s="9" t="str">
        <f>IF(H878="","",IF(I878="já",H878-Stillingar!$B$3,H878))</f>
        <v/>
      </c>
      <c r="N878" s="10"/>
      <c r="P878" s="10"/>
      <c r="S878" s="10"/>
      <c r="U878" s="11"/>
    </row>
    <row r="879" spans="8:21" x14ac:dyDescent="0.2">
      <c r="H879" s="7"/>
      <c r="I879" s="8" t="str">
        <f>IF(H879="","",IF(AND(OR(K879="rafmagn",K879="vetni"),H879&lt;Stillingar!$B$2),"já","nei"))</f>
        <v/>
      </c>
      <c r="J879" s="9" t="str">
        <f>IF(H879="","",IF(I879="já",H879-Stillingar!$B$3,H879))</f>
        <v/>
      </c>
      <c r="N879" s="10"/>
      <c r="P879" s="10"/>
      <c r="S879" s="10"/>
      <c r="U879" s="11"/>
    </row>
    <row r="880" spans="8:21" x14ac:dyDescent="0.2">
      <c r="H880" s="7"/>
      <c r="I880" s="8" t="str">
        <f>IF(H880="","",IF(AND(OR(K880="rafmagn",K880="vetni"),H880&lt;Stillingar!$B$2),"já","nei"))</f>
        <v/>
      </c>
      <c r="J880" s="9" t="str">
        <f>IF(H880="","",IF(I880="já",H880-Stillingar!$B$3,H880))</f>
        <v/>
      </c>
      <c r="N880" s="10"/>
      <c r="P880" s="10"/>
      <c r="S880" s="10"/>
      <c r="U880" s="11"/>
    </row>
    <row r="881" spans="8:21" x14ac:dyDescent="0.2">
      <c r="H881" s="7"/>
      <c r="I881" s="8" t="str">
        <f>IF(H881="","",IF(AND(OR(K881="rafmagn",K881="vetni"),H881&lt;Stillingar!$B$2),"já","nei"))</f>
        <v/>
      </c>
      <c r="J881" s="9" t="str">
        <f>IF(H881="","",IF(I881="já",H881-Stillingar!$B$3,H881))</f>
        <v/>
      </c>
      <c r="N881" s="10"/>
      <c r="P881" s="10"/>
      <c r="S881" s="10"/>
      <c r="U881" s="11"/>
    </row>
    <row r="882" spans="8:21" x14ac:dyDescent="0.2">
      <c r="H882" s="7"/>
      <c r="I882" s="8" t="str">
        <f>IF(H882="","",IF(AND(OR(K882="rafmagn",K882="vetni"),H882&lt;Stillingar!$B$2),"já","nei"))</f>
        <v/>
      </c>
      <c r="J882" s="9" t="str">
        <f>IF(H882="","",IF(I882="já",H882-Stillingar!$B$3,H882))</f>
        <v/>
      </c>
      <c r="N882" s="10"/>
      <c r="P882" s="10"/>
      <c r="S882" s="10"/>
      <c r="U882" s="11"/>
    </row>
    <row r="883" spans="8:21" x14ac:dyDescent="0.2">
      <c r="H883" s="7"/>
      <c r="I883" s="8" t="str">
        <f>IF(H883="","",IF(AND(OR(K883="rafmagn",K883="vetni"),H883&lt;Stillingar!$B$2),"já","nei"))</f>
        <v/>
      </c>
      <c r="J883" s="9" t="str">
        <f>IF(H883="","",IF(I883="já",H883-Stillingar!$B$3,H883))</f>
        <v/>
      </c>
      <c r="N883" s="10"/>
      <c r="P883" s="10"/>
      <c r="S883" s="10"/>
      <c r="U883" s="11"/>
    </row>
    <row r="884" spans="8:21" x14ac:dyDescent="0.2">
      <c r="H884" s="7"/>
      <c r="I884" s="8" t="str">
        <f>IF(H884="","",IF(AND(OR(K884="rafmagn",K884="vetni"),H884&lt;Stillingar!$B$2),"já","nei"))</f>
        <v/>
      </c>
      <c r="J884" s="9" t="str">
        <f>IF(H884="","",IF(I884="já",H884-Stillingar!$B$3,H884))</f>
        <v/>
      </c>
      <c r="N884" s="10"/>
      <c r="P884" s="10"/>
      <c r="S884" s="10"/>
      <c r="U884" s="11"/>
    </row>
    <row r="885" spans="8:21" x14ac:dyDescent="0.2">
      <c r="H885" s="7"/>
      <c r="I885" s="8" t="str">
        <f>IF(H885="","",IF(AND(OR(K885="rafmagn",K885="vetni"),H885&lt;Stillingar!$B$2),"já","nei"))</f>
        <v/>
      </c>
      <c r="J885" s="9" t="str">
        <f>IF(H885="","",IF(I885="já",H885-Stillingar!$B$3,H885))</f>
        <v/>
      </c>
      <c r="N885" s="10"/>
      <c r="P885" s="10"/>
      <c r="S885" s="10"/>
      <c r="U885" s="11"/>
    </row>
    <row r="886" spans="8:21" x14ac:dyDescent="0.2">
      <c r="H886" s="7"/>
      <c r="I886" s="8" t="str">
        <f>IF(H886="","",IF(AND(OR(K886="rafmagn",K886="vetni"),H886&lt;Stillingar!$B$2),"já","nei"))</f>
        <v/>
      </c>
      <c r="J886" s="9" t="str">
        <f>IF(H886="","",IF(I886="já",H886-Stillingar!$B$3,H886))</f>
        <v/>
      </c>
      <c r="N886" s="10"/>
      <c r="P886" s="10"/>
      <c r="S886" s="10"/>
      <c r="U886" s="11"/>
    </row>
    <row r="887" spans="8:21" x14ac:dyDescent="0.2">
      <c r="H887" s="7"/>
      <c r="I887" s="8" t="str">
        <f>IF(H887="","",IF(AND(OR(K887="rafmagn",K887="vetni"),H887&lt;Stillingar!$B$2),"já","nei"))</f>
        <v/>
      </c>
      <c r="J887" s="9" t="str">
        <f>IF(H887="","",IF(I887="já",H887-Stillingar!$B$3,H887))</f>
        <v/>
      </c>
      <c r="N887" s="10"/>
      <c r="P887" s="10"/>
      <c r="S887" s="10"/>
      <c r="U887" s="11"/>
    </row>
    <row r="888" spans="8:21" x14ac:dyDescent="0.2">
      <c r="H888" s="7"/>
      <c r="I888" s="8" t="str">
        <f>IF(H888="","",IF(AND(OR(K888="rafmagn",K888="vetni"),H888&lt;Stillingar!$B$2),"já","nei"))</f>
        <v/>
      </c>
      <c r="J888" s="9" t="str">
        <f>IF(H888="","",IF(I888="já",H888-Stillingar!$B$3,H888))</f>
        <v/>
      </c>
      <c r="N888" s="10"/>
      <c r="P888" s="10"/>
      <c r="S888" s="10"/>
      <c r="U888" s="11"/>
    </row>
    <row r="889" spans="8:21" x14ac:dyDescent="0.2">
      <c r="H889" s="7"/>
      <c r="I889" s="8" t="str">
        <f>IF(H889="","",IF(AND(OR(K889="rafmagn",K889="vetni"),H889&lt;Stillingar!$B$2),"já","nei"))</f>
        <v/>
      </c>
      <c r="J889" s="9" t="str">
        <f>IF(H889="","",IF(I889="já",H889-Stillingar!$B$3,H889))</f>
        <v/>
      </c>
      <c r="N889" s="10"/>
      <c r="P889" s="10"/>
      <c r="S889" s="10"/>
      <c r="U889" s="11"/>
    </row>
    <row r="890" spans="8:21" x14ac:dyDescent="0.2">
      <c r="H890" s="7"/>
      <c r="I890" s="8" t="str">
        <f>IF(H890="","",IF(AND(OR(K890="rafmagn",K890="vetni"),H890&lt;Stillingar!$B$2),"já","nei"))</f>
        <v/>
      </c>
      <c r="J890" s="9" t="str">
        <f>IF(H890="","",IF(I890="já",H890-Stillingar!$B$3,H890))</f>
        <v/>
      </c>
      <c r="N890" s="10"/>
      <c r="P890" s="10"/>
      <c r="S890" s="10"/>
      <c r="U890" s="11"/>
    </row>
    <row r="891" spans="8:21" x14ac:dyDescent="0.2">
      <c r="H891" s="7"/>
      <c r="I891" s="8" t="str">
        <f>IF(H891="","",IF(AND(OR(K891="rafmagn",K891="vetni"),H891&lt;Stillingar!$B$2),"já","nei"))</f>
        <v/>
      </c>
      <c r="J891" s="9" t="str">
        <f>IF(H891="","",IF(I891="já",H891-Stillingar!$B$3,H891))</f>
        <v/>
      </c>
      <c r="N891" s="10"/>
      <c r="P891" s="10"/>
      <c r="S891" s="10"/>
      <c r="U891" s="11"/>
    </row>
    <row r="892" spans="8:21" x14ac:dyDescent="0.2">
      <c r="H892" s="7"/>
      <c r="I892" s="8" t="str">
        <f>IF(H892="","",IF(AND(OR(K892="rafmagn",K892="vetni"),H892&lt;Stillingar!$B$2),"já","nei"))</f>
        <v/>
      </c>
      <c r="J892" s="9" t="str">
        <f>IF(H892="","",IF(I892="já",H892-Stillingar!$B$3,H892))</f>
        <v/>
      </c>
      <c r="N892" s="10"/>
      <c r="P892" s="10"/>
      <c r="S892" s="10"/>
      <c r="U892" s="11"/>
    </row>
    <row r="893" spans="8:21" x14ac:dyDescent="0.2">
      <c r="H893" s="7"/>
      <c r="I893" s="8" t="str">
        <f>IF(H893="","",IF(AND(OR(K893="rafmagn",K893="vetni"),H893&lt;Stillingar!$B$2),"já","nei"))</f>
        <v/>
      </c>
      <c r="J893" s="9" t="str">
        <f>IF(H893="","",IF(I893="já",H893-Stillingar!$B$3,H893))</f>
        <v/>
      </c>
      <c r="N893" s="10"/>
      <c r="P893" s="10"/>
      <c r="S893" s="10"/>
      <c r="U893" s="11"/>
    </row>
    <row r="894" spans="8:21" x14ac:dyDescent="0.2">
      <c r="H894" s="7"/>
      <c r="I894" s="8" t="str">
        <f>IF(H894="","",IF(AND(OR(K894="rafmagn",K894="vetni"),H894&lt;Stillingar!$B$2),"já","nei"))</f>
        <v/>
      </c>
      <c r="J894" s="9" t="str">
        <f>IF(H894="","",IF(I894="já",H894-Stillingar!$B$3,H894))</f>
        <v/>
      </c>
      <c r="N894" s="10"/>
      <c r="P894" s="10"/>
      <c r="S894" s="10"/>
      <c r="U894" s="11"/>
    </row>
    <row r="895" spans="8:21" x14ac:dyDescent="0.2">
      <c r="H895" s="7"/>
      <c r="I895" s="8" t="str">
        <f>IF(H895="","",IF(AND(OR(K895="rafmagn",K895="vetni"),H895&lt;Stillingar!$B$2),"já","nei"))</f>
        <v/>
      </c>
      <c r="J895" s="9" t="str">
        <f>IF(H895="","",IF(I895="já",H895-Stillingar!$B$3,H895))</f>
        <v/>
      </c>
      <c r="N895" s="10"/>
      <c r="P895" s="10"/>
      <c r="S895" s="10"/>
      <c r="U895" s="11"/>
    </row>
    <row r="896" spans="8:21" x14ac:dyDescent="0.2">
      <c r="H896" s="7"/>
      <c r="I896" s="8" t="str">
        <f>IF(H896="","",IF(AND(OR(K896="rafmagn",K896="vetni"),H896&lt;Stillingar!$B$2),"já","nei"))</f>
        <v/>
      </c>
      <c r="J896" s="9" t="str">
        <f>IF(H896="","",IF(I896="já",H896-Stillingar!$B$3,H896))</f>
        <v/>
      </c>
      <c r="N896" s="10"/>
      <c r="P896" s="10"/>
      <c r="S896" s="10"/>
      <c r="U896" s="11"/>
    </row>
    <row r="897" spans="8:21" x14ac:dyDescent="0.2">
      <c r="H897" s="7"/>
      <c r="I897" s="8" t="str">
        <f>IF(H897="","",IF(AND(OR(K897="rafmagn",K897="vetni"),H897&lt;Stillingar!$B$2),"já","nei"))</f>
        <v/>
      </c>
      <c r="J897" s="9" t="str">
        <f>IF(H897="","",IF(I897="já",H897-Stillingar!$B$3,H897))</f>
        <v/>
      </c>
      <c r="N897" s="10"/>
      <c r="P897" s="10"/>
      <c r="S897" s="10"/>
      <c r="U897" s="11"/>
    </row>
    <row r="898" spans="8:21" x14ac:dyDescent="0.2">
      <c r="H898" s="7"/>
      <c r="I898" s="8" t="str">
        <f>IF(H898="","",IF(AND(OR(K898="rafmagn",K898="vetni"),H898&lt;Stillingar!$B$2),"já","nei"))</f>
        <v/>
      </c>
      <c r="J898" s="9" t="str">
        <f>IF(H898="","",IF(I898="já",H898-Stillingar!$B$3,H898))</f>
        <v/>
      </c>
      <c r="N898" s="10"/>
      <c r="P898" s="10"/>
      <c r="S898" s="10"/>
      <c r="U898" s="11"/>
    </row>
    <row r="899" spans="8:21" x14ac:dyDescent="0.2">
      <c r="H899" s="7"/>
      <c r="I899" s="8" t="str">
        <f>IF(H899="","",IF(AND(OR(K899="rafmagn",K899="vetni"),H899&lt;Stillingar!$B$2),"já","nei"))</f>
        <v/>
      </c>
      <c r="J899" s="9" t="str">
        <f>IF(H899="","",IF(I899="já",H899-Stillingar!$B$3,H899))</f>
        <v/>
      </c>
      <c r="N899" s="10"/>
      <c r="P899" s="10"/>
      <c r="S899" s="10"/>
      <c r="U899" s="11"/>
    </row>
    <row r="900" spans="8:21" x14ac:dyDescent="0.2">
      <c r="H900" s="7"/>
      <c r="I900" s="8" t="str">
        <f>IF(H900="","",IF(AND(OR(K900="rafmagn",K900="vetni"),H900&lt;Stillingar!$B$2),"já","nei"))</f>
        <v/>
      </c>
      <c r="J900" s="9" t="str">
        <f>IF(H900="","",IF(I900="já",H900-Stillingar!$B$3,H900))</f>
        <v/>
      </c>
      <c r="N900" s="10"/>
      <c r="P900" s="10"/>
      <c r="S900" s="10"/>
      <c r="U900" s="11"/>
    </row>
    <row r="901" spans="8:21" x14ac:dyDescent="0.2">
      <c r="H901" s="7"/>
      <c r="I901" s="8" t="str">
        <f>IF(H901="","",IF(AND(OR(K901="rafmagn",K901="vetni"),H901&lt;Stillingar!$B$2),"já","nei"))</f>
        <v/>
      </c>
      <c r="J901" s="9" t="str">
        <f>IF(H901="","",IF(I901="já",H901-Stillingar!$B$3,H901))</f>
        <v/>
      </c>
      <c r="N901" s="10"/>
      <c r="P901" s="10"/>
      <c r="S901" s="10"/>
      <c r="U901" s="11"/>
    </row>
    <row r="902" spans="8:21" x14ac:dyDescent="0.2">
      <c r="H902" s="7"/>
      <c r="I902" s="8" t="str">
        <f>IF(H902="","",IF(AND(OR(K902="rafmagn",K902="vetni"),H902&lt;Stillingar!$B$2),"já","nei"))</f>
        <v/>
      </c>
      <c r="J902" s="9" t="str">
        <f>IF(H902="","",IF(I902="já",H902-Stillingar!$B$3,H902))</f>
        <v/>
      </c>
      <c r="N902" s="10"/>
      <c r="P902" s="10"/>
      <c r="S902" s="10"/>
      <c r="U902" s="11"/>
    </row>
    <row r="903" spans="8:21" x14ac:dyDescent="0.2">
      <c r="H903" s="7"/>
      <c r="I903" s="8" t="str">
        <f>IF(H903="","",IF(AND(OR(K903="rafmagn",K903="vetni"),H903&lt;Stillingar!$B$2),"já","nei"))</f>
        <v/>
      </c>
      <c r="J903" s="9" t="str">
        <f>IF(H903="","",IF(I903="já",H903-Stillingar!$B$3,H903))</f>
        <v/>
      </c>
      <c r="N903" s="10"/>
      <c r="P903" s="10"/>
      <c r="S903" s="10"/>
      <c r="U903" s="11"/>
    </row>
    <row r="904" spans="8:21" x14ac:dyDescent="0.2">
      <c r="H904" s="7"/>
      <c r="I904" s="8" t="str">
        <f>IF(H904="","",IF(AND(OR(K904="rafmagn",K904="vetni"),H904&lt;Stillingar!$B$2),"já","nei"))</f>
        <v/>
      </c>
      <c r="J904" s="9" t="str">
        <f>IF(H904="","",IF(I904="já",H904-Stillingar!$B$3,H904))</f>
        <v/>
      </c>
      <c r="N904" s="10"/>
      <c r="P904" s="10"/>
      <c r="S904" s="10"/>
      <c r="U904" s="11"/>
    </row>
    <row r="905" spans="8:21" x14ac:dyDescent="0.2">
      <c r="H905" s="7"/>
      <c r="I905" s="8" t="str">
        <f>IF(H905="","",IF(AND(OR(K905="rafmagn",K905="vetni"),H905&lt;Stillingar!$B$2),"já","nei"))</f>
        <v/>
      </c>
      <c r="J905" s="9" t="str">
        <f>IF(H905="","",IF(I905="já",H905-Stillingar!$B$3,H905))</f>
        <v/>
      </c>
      <c r="N905" s="10"/>
      <c r="P905" s="10"/>
      <c r="S905" s="10"/>
      <c r="U905" s="11"/>
    </row>
    <row r="906" spans="8:21" x14ac:dyDescent="0.2">
      <c r="H906" s="7"/>
      <c r="I906" s="8" t="str">
        <f>IF(H906="","",IF(AND(OR(K906="rafmagn",K906="vetni"),H906&lt;Stillingar!$B$2),"já","nei"))</f>
        <v/>
      </c>
      <c r="J906" s="9" t="str">
        <f>IF(H906="","",IF(I906="já",H906-Stillingar!$B$3,H906))</f>
        <v/>
      </c>
      <c r="N906" s="10"/>
      <c r="P906" s="10"/>
      <c r="S906" s="10"/>
      <c r="U906" s="11"/>
    </row>
    <row r="907" spans="8:21" x14ac:dyDescent="0.2">
      <c r="H907" s="7"/>
      <c r="I907" s="8" t="str">
        <f>IF(H907="","",IF(AND(OR(K907="rafmagn",K907="vetni"),H907&lt;Stillingar!$B$2),"já","nei"))</f>
        <v/>
      </c>
      <c r="J907" s="9" t="str">
        <f>IF(H907="","",IF(I907="já",H907-Stillingar!$B$3,H907))</f>
        <v/>
      </c>
      <c r="N907" s="10"/>
      <c r="P907" s="10"/>
      <c r="S907" s="10"/>
      <c r="U907" s="11"/>
    </row>
    <row r="908" spans="8:21" x14ac:dyDescent="0.2">
      <c r="H908" s="7"/>
      <c r="I908" s="8" t="str">
        <f>IF(H908="","",IF(AND(OR(K908="rafmagn",K908="vetni"),H908&lt;Stillingar!$B$2),"já","nei"))</f>
        <v/>
      </c>
      <c r="J908" s="9" t="str">
        <f>IF(H908="","",IF(I908="já",H908-Stillingar!$B$3,H908))</f>
        <v/>
      </c>
      <c r="N908" s="10"/>
      <c r="P908" s="10"/>
      <c r="S908" s="10"/>
      <c r="U908" s="11"/>
    </row>
    <row r="909" spans="8:21" x14ac:dyDescent="0.2">
      <c r="H909" s="7"/>
      <c r="I909" s="8" t="str">
        <f>IF(H909="","",IF(AND(OR(K909="rafmagn",K909="vetni"),H909&lt;Stillingar!$B$2),"já","nei"))</f>
        <v/>
      </c>
      <c r="J909" s="9" t="str">
        <f>IF(H909="","",IF(I909="já",H909-Stillingar!$B$3,H909))</f>
        <v/>
      </c>
      <c r="N909" s="10"/>
      <c r="P909" s="10"/>
      <c r="S909" s="10"/>
      <c r="U909" s="11"/>
    </row>
    <row r="910" spans="8:21" x14ac:dyDescent="0.2">
      <c r="H910" s="7"/>
      <c r="I910" s="8" t="str">
        <f>IF(H910="","",IF(AND(OR(K910="rafmagn",K910="vetni"),H910&lt;Stillingar!$B$2),"já","nei"))</f>
        <v/>
      </c>
      <c r="J910" s="9" t="str">
        <f>IF(H910="","",IF(I910="já",H910-Stillingar!$B$3,H910))</f>
        <v/>
      </c>
      <c r="N910" s="10"/>
      <c r="P910" s="10"/>
      <c r="S910" s="10"/>
      <c r="U910" s="11"/>
    </row>
    <row r="911" spans="8:21" x14ac:dyDescent="0.2">
      <c r="H911" s="7"/>
      <c r="I911" s="8" t="str">
        <f>IF(H911="","",IF(AND(OR(K911="rafmagn",K911="vetni"),H911&lt;Stillingar!$B$2),"já","nei"))</f>
        <v/>
      </c>
      <c r="J911" s="9" t="str">
        <f>IF(H911="","",IF(I911="já",H911-Stillingar!$B$3,H911))</f>
        <v/>
      </c>
      <c r="N911" s="10"/>
      <c r="P911" s="10"/>
      <c r="S911" s="10"/>
      <c r="U911" s="11"/>
    </row>
    <row r="912" spans="8:21" x14ac:dyDescent="0.2">
      <c r="H912" s="7"/>
      <c r="I912" s="8" t="str">
        <f>IF(H912="","",IF(AND(OR(K912="rafmagn",K912="vetni"),H912&lt;Stillingar!$B$2),"já","nei"))</f>
        <v/>
      </c>
      <c r="J912" s="9" t="str">
        <f>IF(H912="","",IF(I912="já",H912-Stillingar!$B$3,H912))</f>
        <v/>
      </c>
      <c r="N912" s="10"/>
      <c r="P912" s="10"/>
      <c r="S912" s="10"/>
      <c r="U912" s="11"/>
    </row>
    <row r="913" spans="8:21" x14ac:dyDescent="0.2">
      <c r="H913" s="7"/>
      <c r="I913" s="8" t="str">
        <f>IF(H913="","",IF(AND(OR(K913="rafmagn",K913="vetni"),H913&lt;Stillingar!$B$2),"já","nei"))</f>
        <v/>
      </c>
      <c r="J913" s="9" t="str">
        <f>IF(H913="","",IF(I913="já",H913-Stillingar!$B$3,H913))</f>
        <v/>
      </c>
      <c r="N913" s="10"/>
      <c r="P913" s="10"/>
      <c r="S913" s="10"/>
      <c r="U913" s="11"/>
    </row>
    <row r="914" spans="8:21" x14ac:dyDescent="0.2">
      <c r="H914" s="7"/>
      <c r="I914" s="8" t="str">
        <f>IF(H914="","",IF(AND(OR(K914="rafmagn",K914="vetni"),H914&lt;Stillingar!$B$2),"já","nei"))</f>
        <v/>
      </c>
      <c r="J914" s="9" t="str">
        <f>IF(H914="","",IF(I914="já",H914-Stillingar!$B$3,H914))</f>
        <v/>
      </c>
      <c r="N914" s="10"/>
      <c r="P914" s="10"/>
      <c r="S914" s="10"/>
      <c r="U914" s="11"/>
    </row>
    <row r="915" spans="8:21" x14ac:dyDescent="0.2">
      <c r="H915" s="7"/>
      <c r="I915" s="8" t="str">
        <f>IF(H915="","",IF(AND(OR(K915="rafmagn",K915="vetni"),H915&lt;Stillingar!$B$2),"já","nei"))</f>
        <v/>
      </c>
      <c r="J915" s="9" t="str">
        <f>IF(H915="","",IF(I915="já",H915-Stillingar!$B$3,H915))</f>
        <v/>
      </c>
      <c r="N915" s="10"/>
      <c r="P915" s="10"/>
      <c r="S915" s="10"/>
      <c r="U915" s="11"/>
    </row>
    <row r="916" spans="8:21" x14ac:dyDescent="0.2">
      <c r="H916" s="7"/>
      <c r="I916" s="8" t="str">
        <f>IF(H916="","",IF(AND(OR(K916="rafmagn",K916="vetni"),H916&lt;Stillingar!$B$2),"já","nei"))</f>
        <v/>
      </c>
      <c r="J916" s="9" t="str">
        <f>IF(H916="","",IF(I916="já",H916-Stillingar!$B$3,H916))</f>
        <v/>
      </c>
      <c r="N916" s="10"/>
      <c r="P916" s="10"/>
      <c r="S916" s="10"/>
      <c r="U916" s="11"/>
    </row>
    <row r="917" spans="8:21" x14ac:dyDescent="0.2">
      <c r="H917" s="7"/>
      <c r="I917" s="8" t="str">
        <f>IF(H917="","",IF(AND(OR(K917="rafmagn",K917="vetni"),H917&lt;Stillingar!$B$2),"já","nei"))</f>
        <v/>
      </c>
      <c r="J917" s="9" t="str">
        <f>IF(H917="","",IF(I917="já",H917-Stillingar!$B$3,H917))</f>
        <v/>
      </c>
      <c r="N917" s="10"/>
      <c r="P917" s="10"/>
      <c r="S917" s="10"/>
      <c r="U917" s="11"/>
    </row>
    <row r="918" spans="8:21" x14ac:dyDescent="0.2">
      <c r="H918" s="7"/>
      <c r="I918" s="8" t="str">
        <f>IF(H918="","",IF(AND(OR(K918="rafmagn",K918="vetni"),H918&lt;Stillingar!$B$2),"já","nei"))</f>
        <v/>
      </c>
      <c r="J918" s="9" t="str">
        <f>IF(H918="","",IF(I918="já",H918-Stillingar!$B$3,H918))</f>
        <v/>
      </c>
      <c r="N918" s="10"/>
      <c r="P918" s="10"/>
      <c r="S918" s="10"/>
      <c r="U918" s="11"/>
    </row>
    <row r="919" spans="8:21" x14ac:dyDescent="0.2">
      <c r="H919" s="7"/>
      <c r="I919" s="8" t="str">
        <f>IF(H919="","",IF(AND(OR(K919="rafmagn",K919="vetni"),H919&lt;Stillingar!$B$2),"já","nei"))</f>
        <v/>
      </c>
      <c r="J919" s="9" t="str">
        <f>IF(H919="","",IF(I919="já",H919-Stillingar!$B$3,H919))</f>
        <v/>
      </c>
      <c r="N919" s="10"/>
      <c r="P919" s="10"/>
      <c r="S919" s="10"/>
      <c r="U919" s="11"/>
    </row>
    <row r="920" spans="8:21" x14ac:dyDescent="0.2">
      <c r="H920" s="7"/>
      <c r="I920" s="8" t="str">
        <f>IF(H920="","",IF(AND(OR(K920="rafmagn",K920="vetni"),H920&lt;Stillingar!$B$2),"já","nei"))</f>
        <v/>
      </c>
      <c r="J920" s="9" t="str">
        <f>IF(H920="","",IF(I920="já",H920-Stillingar!$B$3,H920))</f>
        <v/>
      </c>
      <c r="N920" s="10"/>
      <c r="P920" s="10"/>
      <c r="S920" s="10"/>
      <c r="U920" s="11"/>
    </row>
    <row r="921" spans="8:21" x14ac:dyDescent="0.2">
      <c r="H921" s="7"/>
      <c r="I921" s="8" t="str">
        <f>IF(H921="","",IF(AND(OR(K921="rafmagn",K921="vetni"),H921&lt;Stillingar!$B$2),"já","nei"))</f>
        <v/>
      </c>
      <c r="J921" s="9" t="str">
        <f>IF(H921="","",IF(I921="já",H921-Stillingar!$B$3,H921))</f>
        <v/>
      </c>
      <c r="N921" s="10"/>
      <c r="P921" s="10"/>
      <c r="S921" s="10"/>
      <c r="U921" s="11"/>
    </row>
    <row r="922" spans="8:21" x14ac:dyDescent="0.2">
      <c r="H922" s="7"/>
      <c r="I922" s="8" t="str">
        <f>IF(H922="","",IF(AND(OR(K922="rafmagn",K922="vetni"),H922&lt;Stillingar!$B$2),"já","nei"))</f>
        <v/>
      </c>
      <c r="J922" s="9" t="str">
        <f>IF(H922="","",IF(I922="já",H922-Stillingar!$B$3,H922))</f>
        <v/>
      </c>
      <c r="N922" s="10"/>
      <c r="P922" s="10"/>
      <c r="S922" s="10"/>
      <c r="U922" s="11"/>
    </row>
    <row r="923" spans="8:21" x14ac:dyDescent="0.2">
      <c r="H923" s="7"/>
      <c r="I923" s="8" t="str">
        <f>IF(H923="","",IF(AND(OR(K923="rafmagn",K923="vetni"),H923&lt;Stillingar!$B$2),"já","nei"))</f>
        <v/>
      </c>
      <c r="J923" s="9" t="str">
        <f>IF(H923="","",IF(I923="já",H923-Stillingar!$B$3,H923))</f>
        <v/>
      </c>
      <c r="N923" s="10"/>
      <c r="P923" s="10"/>
      <c r="S923" s="10"/>
      <c r="U923" s="11"/>
    </row>
    <row r="924" spans="8:21" x14ac:dyDescent="0.2">
      <c r="H924" s="7"/>
      <c r="I924" s="8" t="str">
        <f>IF(H924="","",IF(AND(OR(K924="rafmagn",K924="vetni"),H924&lt;Stillingar!$B$2),"já","nei"))</f>
        <v/>
      </c>
      <c r="J924" s="9" t="str">
        <f>IF(H924="","",IF(I924="já",H924-Stillingar!$B$3,H924))</f>
        <v/>
      </c>
      <c r="N924" s="10"/>
      <c r="P924" s="10"/>
      <c r="S924" s="10"/>
      <c r="U924" s="11"/>
    </row>
    <row r="925" spans="8:21" x14ac:dyDescent="0.2">
      <c r="H925" s="7"/>
      <c r="I925" s="8" t="str">
        <f>IF(H925="","",IF(AND(OR(K925="rafmagn",K925="vetni"),H925&lt;Stillingar!$B$2),"já","nei"))</f>
        <v/>
      </c>
      <c r="J925" s="9" t="str">
        <f>IF(H925="","",IF(I925="já",H925-Stillingar!$B$3,H925))</f>
        <v/>
      </c>
      <c r="N925" s="10"/>
      <c r="P925" s="10"/>
      <c r="S925" s="10"/>
      <c r="U925" s="11"/>
    </row>
    <row r="926" spans="8:21" x14ac:dyDescent="0.2">
      <c r="H926" s="7"/>
      <c r="I926" s="8" t="str">
        <f>IF(H926="","",IF(AND(OR(K926="rafmagn",K926="vetni"),H926&lt;Stillingar!$B$2),"já","nei"))</f>
        <v/>
      </c>
      <c r="J926" s="9" t="str">
        <f>IF(H926="","",IF(I926="já",H926-Stillingar!$B$3,H926))</f>
        <v/>
      </c>
      <c r="N926" s="10"/>
      <c r="P926" s="10"/>
      <c r="S926" s="10"/>
      <c r="U926" s="11"/>
    </row>
    <row r="927" spans="8:21" x14ac:dyDescent="0.2">
      <c r="H927" s="7"/>
      <c r="I927" s="8" t="str">
        <f>IF(H927="","",IF(AND(OR(K927="rafmagn",K927="vetni"),H927&lt;Stillingar!$B$2),"já","nei"))</f>
        <v/>
      </c>
      <c r="J927" s="9" t="str">
        <f>IF(H927="","",IF(I927="já",H927-Stillingar!$B$3,H927))</f>
        <v/>
      </c>
      <c r="N927" s="10"/>
      <c r="P927" s="10"/>
      <c r="S927" s="10"/>
      <c r="U927" s="11"/>
    </row>
    <row r="928" spans="8:21" x14ac:dyDescent="0.2">
      <c r="H928" s="7"/>
      <c r="I928" s="8" t="str">
        <f>IF(H928="","",IF(AND(OR(K928="rafmagn",K928="vetni"),H928&lt;Stillingar!$B$2),"já","nei"))</f>
        <v/>
      </c>
      <c r="J928" s="9" t="str">
        <f>IF(H928="","",IF(I928="já",H928-Stillingar!$B$3,H928))</f>
        <v/>
      </c>
      <c r="N928" s="10"/>
      <c r="P928" s="10"/>
      <c r="S928" s="10"/>
      <c r="U928" s="11"/>
    </row>
    <row r="929" spans="8:21" x14ac:dyDescent="0.2">
      <c r="H929" s="7"/>
      <c r="I929" s="8" t="str">
        <f>IF(H929="","",IF(AND(OR(K929="rafmagn",K929="vetni"),H929&lt;Stillingar!$B$2),"já","nei"))</f>
        <v/>
      </c>
      <c r="J929" s="9" t="str">
        <f>IF(H929="","",IF(I929="já",H929-Stillingar!$B$3,H929))</f>
        <v/>
      </c>
      <c r="N929" s="10"/>
      <c r="P929" s="10"/>
      <c r="S929" s="10"/>
      <c r="U929" s="11"/>
    </row>
    <row r="930" spans="8:21" x14ac:dyDescent="0.2">
      <c r="H930" s="7"/>
      <c r="I930" s="8" t="str">
        <f>IF(H930="","",IF(AND(OR(K930="rafmagn",K930="vetni"),H930&lt;Stillingar!$B$2),"já","nei"))</f>
        <v/>
      </c>
      <c r="J930" s="9" t="str">
        <f>IF(H930="","",IF(I930="já",H930-Stillingar!$B$3,H930))</f>
        <v/>
      </c>
      <c r="N930" s="10"/>
      <c r="P930" s="10"/>
      <c r="S930" s="10"/>
      <c r="U930" s="11"/>
    </row>
    <row r="931" spans="8:21" x14ac:dyDescent="0.2">
      <c r="H931" s="7"/>
      <c r="I931" s="8" t="str">
        <f>IF(H931="","",IF(AND(OR(K931="rafmagn",K931="vetni"),H931&lt;Stillingar!$B$2),"já","nei"))</f>
        <v/>
      </c>
      <c r="J931" s="9" t="str">
        <f>IF(H931="","",IF(I931="já",H931-Stillingar!$B$3,H931))</f>
        <v/>
      </c>
      <c r="N931" s="10"/>
      <c r="P931" s="10"/>
      <c r="S931" s="10"/>
      <c r="U931" s="11"/>
    </row>
    <row r="932" spans="8:21" x14ac:dyDescent="0.2">
      <c r="H932" s="7"/>
      <c r="I932" s="8" t="str">
        <f>IF(H932="","",IF(AND(OR(K932="rafmagn",K932="vetni"),H932&lt;Stillingar!$B$2),"já","nei"))</f>
        <v/>
      </c>
      <c r="J932" s="9" t="str">
        <f>IF(H932="","",IF(I932="já",H932-Stillingar!$B$3,H932))</f>
        <v/>
      </c>
      <c r="N932" s="10"/>
      <c r="P932" s="10"/>
      <c r="S932" s="10"/>
      <c r="U932" s="11"/>
    </row>
    <row r="933" spans="8:21" x14ac:dyDescent="0.2">
      <c r="H933" s="7"/>
      <c r="I933" s="8" t="str">
        <f>IF(H933="","",IF(AND(OR(K933="rafmagn",K933="vetni"),H933&lt;Stillingar!$B$2),"já","nei"))</f>
        <v/>
      </c>
      <c r="J933" s="9" t="str">
        <f>IF(H933="","",IF(I933="já",H933-Stillingar!$B$3,H933))</f>
        <v/>
      </c>
      <c r="N933" s="10"/>
      <c r="P933" s="10"/>
      <c r="S933" s="10"/>
      <c r="U933" s="11"/>
    </row>
    <row r="934" spans="8:21" x14ac:dyDescent="0.2">
      <c r="H934" s="7"/>
      <c r="I934" s="8" t="str">
        <f>IF(H934="","",IF(AND(OR(K934="rafmagn",K934="vetni"),H934&lt;Stillingar!$B$2),"já","nei"))</f>
        <v/>
      </c>
      <c r="J934" s="9" t="str">
        <f>IF(H934="","",IF(I934="já",H934-Stillingar!$B$3,H934))</f>
        <v/>
      </c>
      <c r="N934" s="10"/>
      <c r="P934" s="10"/>
      <c r="S934" s="10"/>
      <c r="U934" s="11"/>
    </row>
    <row r="935" spans="8:21" x14ac:dyDescent="0.2">
      <c r="H935" s="7"/>
      <c r="I935" s="8" t="str">
        <f>IF(H935="","",IF(AND(OR(K935="rafmagn",K935="vetni"),H935&lt;Stillingar!$B$2),"já","nei"))</f>
        <v/>
      </c>
      <c r="J935" s="9" t="str">
        <f>IF(H935="","",IF(I935="já",H935-Stillingar!$B$3,H935))</f>
        <v/>
      </c>
      <c r="N935" s="10"/>
      <c r="P935" s="10"/>
      <c r="S935" s="10"/>
      <c r="U935" s="11"/>
    </row>
    <row r="936" spans="8:21" x14ac:dyDescent="0.2">
      <c r="H936" s="7"/>
      <c r="I936" s="8" t="str">
        <f>IF(H936="","",IF(AND(OR(K936="rafmagn",K936="vetni"),H936&lt;Stillingar!$B$2),"já","nei"))</f>
        <v/>
      </c>
      <c r="J936" s="9" t="str">
        <f>IF(H936="","",IF(I936="já",H936-Stillingar!$B$3,H936))</f>
        <v/>
      </c>
      <c r="N936" s="10"/>
      <c r="P936" s="10"/>
      <c r="S936" s="10"/>
      <c r="U936" s="11"/>
    </row>
    <row r="937" spans="8:21" x14ac:dyDescent="0.2">
      <c r="H937" s="7"/>
      <c r="I937" s="8" t="str">
        <f>IF(H937="","",IF(AND(OR(K937="rafmagn",K937="vetni"),H937&lt;Stillingar!$B$2),"já","nei"))</f>
        <v/>
      </c>
      <c r="J937" s="9" t="str">
        <f>IF(H937="","",IF(I937="já",H937-Stillingar!$B$3,H937))</f>
        <v/>
      </c>
      <c r="N937" s="10"/>
      <c r="P937" s="10"/>
      <c r="S937" s="10"/>
      <c r="U937" s="11"/>
    </row>
    <row r="938" spans="8:21" x14ac:dyDescent="0.2">
      <c r="H938" s="7"/>
      <c r="I938" s="8" t="str">
        <f>IF(H938="","",IF(AND(OR(K938="rafmagn",K938="vetni"),H938&lt;Stillingar!$B$2),"já","nei"))</f>
        <v/>
      </c>
      <c r="J938" s="9" t="str">
        <f>IF(H938="","",IF(I938="já",H938-Stillingar!$B$3,H938))</f>
        <v/>
      </c>
      <c r="N938" s="10"/>
      <c r="P938" s="10"/>
      <c r="S938" s="10"/>
      <c r="U938" s="11"/>
    </row>
    <row r="939" spans="8:21" x14ac:dyDescent="0.2">
      <c r="H939" s="7"/>
      <c r="I939" s="8" t="str">
        <f>IF(H939="","",IF(AND(OR(K939="rafmagn",K939="vetni"),H939&lt;Stillingar!$B$2),"já","nei"))</f>
        <v/>
      </c>
      <c r="J939" s="9" t="str">
        <f>IF(H939="","",IF(I939="já",H939-Stillingar!$B$3,H939))</f>
        <v/>
      </c>
      <c r="N939" s="10"/>
      <c r="P939" s="10"/>
      <c r="S939" s="10"/>
      <c r="U939" s="11"/>
    </row>
    <row r="940" spans="8:21" x14ac:dyDescent="0.2">
      <c r="H940" s="7"/>
      <c r="I940" s="8" t="str">
        <f>IF(H940="","",IF(AND(OR(K940="rafmagn",K940="vetni"),H940&lt;Stillingar!$B$2),"já","nei"))</f>
        <v/>
      </c>
      <c r="J940" s="9" t="str">
        <f>IF(H940="","",IF(I940="já",H940-Stillingar!$B$3,H940))</f>
        <v/>
      </c>
      <c r="N940" s="10"/>
      <c r="P940" s="10"/>
      <c r="S940" s="10"/>
      <c r="U940" s="11"/>
    </row>
    <row r="941" spans="8:21" x14ac:dyDescent="0.2">
      <c r="H941" s="7"/>
      <c r="I941" s="8" t="str">
        <f>IF(H941="","",IF(AND(OR(K941="rafmagn",K941="vetni"),H941&lt;Stillingar!$B$2),"já","nei"))</f>
        <v/>
      </c>
      <c r="J941" s="9" t="str">
        <f>IF(H941="","",IF(I941="já",H941-Stillingar!$B$3,H941))</f>
        <v/>
      </c>
      <c r="N941" s="10"/>
      <c r="P941" s="10"/>
      <c r="S941" s="10"/>
      <c r="U941" s="11"/>
    </row>
    <row r="942" spans="8:21" x14ac:dyDescent="0.2">
      <c r="H942" s="7"/>
      <c r="I942" s="8" t="str">
        <f>IF(H942="","",IF(AND(OR(K942="rafmagn",K942="vetni"),H942&lt;Stillingar!$B$2),"já","nei"))</f>
        <v/>
      </c>
      <c r="J942" s="9" t="str">
        <f>IF(H942="","",IF(I942="já",H942-Stillingar!$B$3,H942))</f>
        <v/>
      </c>
      <c r="N942" s="10"/>
      <c r="P942" s="10"/>
      <c r="S942" s="10"/>
      <c r="U942" s="11"/>
    </row>
    <row r="943" spans="8:21" x14ac:dyDescent="0.2">
      <c r="H943" s="7"/>
      <c r="I943" s="8" t="str">
        <f>IF(H943="","",IF(AND(OR(K943="rafmagn",K943="vetni"),H943&lt;Stillingar!$B$2),"já","nei"))</f>
        <v/>
      </c>
      <c r="J943" s="9" t="str">
        <f>IF(H943="","",IF(I943="já",H943-Stillingar!$B$3,H943))</f>
        <v/>
      </c>
      <c r="N943" s="10"/>
      <c r="P943" s="10"/>
      <c r="S943" s="10"/>
      <c r="U943" s="11"/>
    </row>
    <row r="944" spans="8:21" x14ac:dyDescent="0.2">
      <c r="H944" s="7"/>
      <c r="I944" s="8" t="str">
        <f>IF(H944="","",IF(AND(OR(K944="rafmagn",K944="vetni"),H944&lt;Stillingar!$B$2),"já","nei"))</f>
        <v/>
      </c>
      <c r="J944" s="9" t="str">
        <f>IF(H944="","",IF(I944="já",H944-Stillingar!$B$3,H944))</f>
        <v/>
      </c>
      <c r="N944" s="10"/>
      <c r="P944" s="10"/>
      <c r="S944" s="10"/>
      <c r="U944" s="11"/>
    </row>
    <row r="945" spans="8:21" x14ac:dyDescent="0.2">
      <c r="H945" s="7"/>
      <c r="I945" s="8" t="str">
        <f>IF(H945="","",IF(AND(OR(K945="rafmagn",K945="vetni"),H945&lt;Stillingar!$B$2),"já","nei"))</f>
        <v/>
      </c>
      <c r="J945" s="9" t="str">
        <f>IF(H945="","",IF(I945="já",H945-Stillingar!$B$3,H945))</f>
        <v/>
      </c>
      <c r="N945" s="10"/>
      <c r="P945" s="10"/>
      <c r="S945" s="10"/>
      <c r="U945" s="11"/>
    </row>
    <row r="946" spans="8:21" x14ac:dyDescent="0.2">
      <c r="H946" s="7"/>
      <c r="I946" s="8" t="str">
        <f>IF(H946="","",IF(AND(OR(K946="rafmagn",K946="vetni"),H946&lt;Stillingar!$B$2),"já","nei"))</f>
        <v/>
      </c>
      <c r="J946" s="9" t="str">
        <f>IF(H946="","",IF(I946="já",H946-Stillingar!$B$3,H946))</f>
        <v/>
      </c>
      <c r="N946" s="10"/>
      <c r="P946" s="10"/>
      <c r="S946" s="10"/>
      <c r="U946" s="11"/>
    </row>
    <row r="947" spans="8:21" x14ac:dyDescent="0.2">
      <c r="H947" s="7"/>
      <c r="I947" s="8" t="str">
        <f>IF(H947="","",IF(AND(OR(K947="rafmagn",K947="vetni"),H947&lt;Stillingar!$B$2),"já","nei"))</f>
        <v/>
      </c>
      <c r="J947" s="9" t="str">
        <f>IF(H947="","",IF(I947="já",H947-Stillingar!$B$3,H947))</f>
        <v/>
      </c>
      <c r="N947" s="10"/>
      <c r="P947" s="10"/>
      <c r="S947" s="10"/>
      <c r="U947" s="11"/>
    </row>
    <row r="948" spans="8:21" x14ac:dyDescent="0.2">
      <c r="H948" s="7"/>
      <c r="I948" s="8" t="str">
        <f>IF(H948="","",IF(AND(OR(K948="rafmagn",K948="vetni"),H948&lt;Stillingar!$B$2),"já","nei"))</f>
        <v/>
      </c>
      <c r="J948" s="9" t="str">
        <f>IF(H948="","",IF(I948="já",H948-Stillingar!$B$3,H948))</f>
        <v/>
      </c>
      <c r="N948" s="10"/>
      <c r="P948" s="10"/>
      <c r="S948" s="10"/>
      <c r="U948" s="11"/>
    </row>
    <row r="949" spans="8:21" x14ac:dyDescent="0.2">
      <c r="H949" s="7"/>
      <c r="I949" s="8" t="str">
        <f>IF(H949="","",IF(AND(OR(K949="rafmagn",K949="vetni"),H949&lt;Stillingar!$B$2),"já","nei"))</f>
        <v/>
      </c>
      <c r="J949" s="9" t="str">
        <f>IF(H949="","",IF(I949="já",H949-Stillingar!$B$3,H949))</f>
        <v/>
      </c>
      <c r="N949" s="10"/>
      <c r="P949" s="10"/>
      <c r="S949" s="10"/>
      <c r="U949" s="11"/>
    </row>
    <row r="950" spans="8:21" x14ac:dyDescent="0.2">
      <c r="H950" s="7"/>
      <c r="I950" s="8" t="str">
        <f>IF(H950="","",IF(AND(OR(K950="rafmagn",K950="vetni"),H950&lt;Stillingar!$B$2),"já","nei"))</f>
        <v/>
      </c>
      <c r="J950" s="9" t="str">
        <f>IF(H950="","",IF(I950="já",H950-Stillingar!$B$3,H950))</f>
        <v/>
      </c>
      <c r="N950" s="10"/>
      <c r="P950" s="10"/>
      <c r="S950" s="10"/>
      <c r="U950" s="11"/>
    </row>
    <row r="951" spans="8:21" x14ac:dyDescent="0.2">
      <c r="H951" s="7"/>
      <c r="I951" s="8" t="str">
        <f>IF(H951="","",IF(AND(OR(K951="rafmagn",K951="vetni"),H951&lt;Stillingar!$B$2),"já","nei"))</f>
        <v/>
      </c>
      <c r="J951" s="9" t="str">
        <f>IF(H951="","",IF(I951="já",H951-Stillingar!$B$3,H951))</f>
        <v/>
      </c>
      <c r="N951" s="10"/>
      <c r="P951" s="10"/>
      <c r="S951" s="10"/>
      <c r="U951" s="11"/>
    </row>
    <row r="952" spans="8:21" x14ac:dyDescent="0.2">
      <c r="H952" s="7"/>
      <c r="I952" s="8" t="str">
        <f>IF(H952="","",IF(AND(OR(K952="rafmagn",K952="vetni"),H952&lt;Stillingar!$B$2),"já","nei"))</f>
        <v/>
      </c>
      <c r="J952" s="9" t="str">
        <f>IF(H952="","",IF(I952="já",H952-Stillingar!$B$3,H952))</f>
        <v/>
      </c>
      <c r="N952" s="10"/>
      <c r="P952" s="10"/>
      <c r="S952" s="10"/>
      <c r="U952" s="11"/>
    </row>
    <row r="953" spans="8:21" x14ac:dyDescent="0.2">
      <c r="H953" s="7"/>
      <c r="I953" s="8" t="str">
        <f>IF(H953="","",IF(AND(OR(K953="rafmagn",K953="vetni"),H953&lt;Stillingar!$B$2),"já","nei"))</f>
        <v/>
      </c>
      <c r="J953" s="9" t="str">
        <f>IF(H953="","",IF(I953="já",H953-Stillingar!$B$3,H953))</f>
        <v/>
      </c>
      <c r="N953" s="10"/>
      <c r="P953" s="10"/>
      <c r="S953" s="10"/>
      <c r="U953" s="11"/>
    </row>
    <row r="954" spans="8:21" x14ac:dyDescent="0.2">
      <c r="H954" s="7"/>
      <c r="I954" s="8" t="str">
        <f>IF(H954="","",IF(AND(OR(K954="rafmagn",K954="vetni"),H954&lt;Stillingar!$B$2),"já","nei"))</f>
        <v/>
      </c>
      <c r="J954" s="9" t="str">
        <f>IF(H954="","",IF(I954="já",H954-Stillingar!$B$3,H954))</f>
        <v/>
      </c>
      <c r="N954" s="10"/>
      <c r="P954" s="10"/>
      <c r="S954" s="10"/>
      <c r="U954" s="11"/>
    </row>
    <row r="955" spans="8:21" x14ac:dyDescent="0.2">
      <c r="H955" s="7"/>
      <c r="I955" s="8" t="str">
        <f>IF(H955="","",IF(AND(OR(K955="rafmagn",K955="vetni"),H955&lt;Stillingar!$B$2),"já","nei"))</f>
        <v/>
      </c>
      <c r="J955" s="9" t="str">
        <f>IF(H955="","",IF(I955="já",H955-Stillingar!$B$3,H955))</f>
        <v/>
      </c>
      <c r="N955" s="10"/>
      <c r="P955" s="10"/>
      <c r="S955" s="10"/>
      <c r="U955" s="11"/>
    </row>
    <row r="956" spans="8:21" x14ac:dyDescent="0.2">
      <c r="H956" s="7"/>
      <c r="I956" s="8" t="str">
        <f>IF(H956="","",IF(AND(OR(K956="rafmagn",K956="vetni"),H956&lt;Stillingar!$B$2),"já","nei"))</f>
        <v/>
      </c>
      <c r="J956" s="9" t="str">
        <f>IF(H956="","",IF(I956="já",H956-Stillingar!$B$3,H956))</f>
        <v/>
      </c>
      <c r="N956" s="10"/>
      <c r="P956" s="10"/>
      <c r="S956" s="10"/>
      <c r="U956" s="11"/>
    </row>
    <row r="957" spans="8:21" x14ac:dyDescent="0.2">
      <c r="H957" s="7"/>
      <c r="I957" s="8" t="str">
        <f>IF(H957="","",IF(AND(OR(K957="rafmagn",K957="vetni"),H957&lt;Stillingar!$B$2),"já","nei"))</f>
        <v/>
      </c>
      <c r="J957" s="9" t="str">
        <f>IF(H957="","",IF(I957="já",H957-Stillingar!$B$3,H957))</f>
        <v/>
      </c>
      <c r="N957" s="10"/>
      <c r="P957" s="10"/>
      <c r="S957" s="10"/>
      <c r="U957" s="11"/>
    </row>
    <row r="958" spans="8:21" x14ac:dyDescent="0.2">
      <c r="H958" s="7"/>
      <c r="I958" s="8" t="str">
        <f>IF(H958="","",IF(AND(OR(K958="rafmagn",K958="vetni"),H958&lt;Stillingar!$B$2),"já","nei"))</f>
        <v/>
      </c>
      <c r="J958" s="9" t="str">
        <f>IF(H958="","",IF(I958="já",H958-Stillingar!$B$3,H958))</f>
        <v/>
      </c>
      <c r="N958" s="10"/>
      <c r="P958" s="10"/>
      <c r="S958" s="10"/>
      <c r="U958" s="11"/>
    </row>
    <row r="959" spans="8:21" x14ac:dyDescent="0.2">
      <c r="H959" s="7"/>
      <c r="I959" s="8" t="str">
        <f>IF(H959="","",IF(AND(OR(K959="rafmagn",K959="vetni"),H959&lt;Stillingar!$B$2),"já","nei"))</f>
        <v/>
      </c>
      <c r="J959" s="9" t="str">
        <f>IF(H959="","",IF(I959="já",H959-Stillingar!$B$3,H959))</f>
        <v/>
      </c>
      <c r="N959" s="10"/>
      <c r="P959" s="10"/>
      <c r="S959" s="10"/>
      <c r="U959" s="11"/>
    </row>
    <row r="960" spans="8:21" x14ac:dyDescent="0.2">
      <c r="H960" s="7"/>
      <c r="I960" s="8" t="str">
        <f>IF(H960="","",IF(AND(OR(K960="rafmagn",K960="vetni"),H960&lt;Stillingar!$B$2),"já","nei"))</f>
        <v/>
      </c>
      <c r="J960" s="9" t="str">
        <f>IF(H960="","",IF(I960="já",H960-Stillingar!$B$3,H960))</f>
        <v/>
      </c>
      <c r="N960" s="10"/>
      <c r="P960" s="10"/>
      <c r="S960" s="10"/>
      <c r="U960" s="11"/>
    </row>
    <row r="961" spans="8:21" x14ac:dyDescent="0.2">
      <c r="H961" s="7"/>
      <c r="I961" s="8" t="str">
        <f>IF(H961="","",IF(AND(OR(K961="rafmagn",K961="vetni"),H961&lt;Stillingar!$B$2),"já","nei"))</f>
        <v/>
      </c>
      <c r="J961" s="9" t="str">
        <f>IF(H961="","",IF(I961="já",H961-Stillingar!$B$3,H961))</f>
        <v/>
      </c>
      <c r="N961" s="10"/>
      <c r="P961" s="10"/>
      <c r="S961" s="10"/>
      <c r="U961" s="11"/>
    </row>
    <row r="962" spans="8:21" x14ac:dyDescent="0.2">
      <c r="H962" s="7"/>
      <c r="I962" s="8" t="str">
        <f>IF(H962="","",IF(AND(OR(K962="rafmagn",K962="vetni"),H962&lt;Stillingar!$B$2),"já","nei"))</f>
        <v/>
      </c>
      <c r="J962" s="9" t="str">
        <f>IF(H962="","",IF(I962="já",H962-Stillingar!$B$3,H962))</f>
        <v/>
      </c>
      <c r="N962" s="10"/>
      <c r="P962" s="10"/>
      <c r="S962" s="10"/>
      <c r="U962" s="11"/>
    </row>
    <row r="963" spans="8:21" x14ac:dyDescent="0.2">
      <c r="H963" s="7"/>
      <c r="I963" s="8" t="str">
        <f>IF(H963="","",IF(AND(OR(K963="rafmagn",K963="vetni"),H963&lt;Stillingar!$B$2),"já","nei"))</f>
        <v/>
      </c>
      <c r="J963" s="9" t="str">
        <f>IF(H963="","",IF(I963="já",H963-Stillingar!$B$3,H963))</f>
        <v/>
      </c>
      <c r="N963" s="10"/>
      <c r="P963" s="10"/>
      <c r="S963" s="10"/>
      <c r="U963" s="11"/>
    </row>
    <row r="964" spans="8:21" x14ac:dyDescent="0.2">
      <c r="H964" s="7"/>
      <c r="I964" s="8" t="str">
        <f>IF(H964="","",IF(AND(OR(K964="rafmagn",K964="vetni"),H964&lt;Stillingar!$B$2),"já","nei"))</f>
        <v/>
      </c>
      <c r="J964" s="9" t="str">
        <f>IF(H964="","",IF(I964="já",H964-Stillingar!$B$3,H964))</f>
        <v/>
      </c>
      <c r="N964" s="10"/>
      <c r="P964" s="10"/>
      <c r="S964" s="10"/>
      <c r="U964" s="11"/>
    </row>
    <row r="965" spans="8:21" x14ac:dyDescent="0.2">
      <c r="H965" s="7"/>
      <c r="I965" s="8" t="str">
        <f>IF(H965="","",IF(AND(OR(K965="rafmagn",K965="vetni"),H965&lt;Stillingar!$B$2),"já","nei"))</f>
        <v/>
      </c>
      <c r="J965" s="9" t="str">
        <f>IF(H965="","",IF(I965="já",H965-Stillingar!$B$3,H965))</f>
        <v/>
      </c>
      <c r="N965" s="10"/>
      <c r="P965" s="10"/>
      <c r="S965" s="10"/>
      <c r="U965" s="11"/>
    </row>
    <row r="966" spans="8:21" x14ac:dyDescent="0.2">
      <c r="H966" s="7"/>
      <c r="I966" s="8" t="str">
        <f>IF(H966="","",IF(AND(OR(K966="rafmagn",K966="vetni"),H966&lt;Stillingar!$B$2),"já","nei"))</f>
        <v/>
      </c>
      <c r="J966" s="9" t="str">
        <f>IF(H966="","",IF(I966="já",H966-Stillingar!$B$3,H966))</f>
        <v/>
      </c>
      <c r="N966" s="10"/>
      <c r="P966" s="10"/>
      <c r="S966" s="10"/>
      <c r="U966" s="11"/>
    </row>
    <row r="967" spans="8:21" x14ac:dyDescent="0.2">
      <c r="H967" s="7"/>
      <c r="I967" s="8" t="str">
        <f>IF(H967="","",IF(AND(OR(K967="rafmagn",K967="vetni"),H967&lt;Stillingar!$B$2),"já","nei"))</f>
        <v/>
      </c>
      <c r="J967" s="9" t="str">
        <f>IF(H967="","",IF(I967="já",H967-Stillingar!$B$3,H967))</f>
        <v/>
      </c>
      <c r="N967" s="10"/>
      <c r="P967" s="10"/>
      <c r="S967" s="10"/>
      <c r="U967" s="11"/>
    </row>
    <row r="968" spans="8:21" x14ac:dyDescent="0.2">
      <c r="H968" s="7"/>
      <c r="I968" s="8" t="str">
        <f>IF(H968="","",IF(AND(OR(K968="rafmagn",K968="vetni"),H968&lt;Stillingar!$B$2),"já","nei"))</f>
        <v/>
      </c>
      <c r="J968" s="9" t="str">
        <f>IF(H968="","",IF(I968="já",H968-Stillingar!$B$3,H968))</f>
        <v/>
      </c>
      <c r="N968" s="10"/>
      <c r="P968" s="10"/>
      <c r="S968" s="10"/>
      <c r="U968" s="11"/>
    </row>
    <row r="969" spans="8:21" x14ac:dyDescent="0.2">
      <c r="H969" s="7"/>
      <c r="I969" s="8" t="str">
        <f>IF(H969="","",IF(AND(OR(K969="rafmagn",K969="vetni"),H969&lt;Stillingar!$B$2),"já","nei"))</f>
        <v/>
      </c>
      <c r="J969" s="9" t="str">
        <f>IF(H969="","",IF(I969="já",H969-Stillingar!$B$3,H969))</f>
        <v/>
      </c>
      <c r="N969" s="10"/>
      <c r="P969" s="10"/>
      <c r="S969" s="10"/>
      <c r="U969" s="11"/>
    </row>
    <row r="970" spans="8:21" x14ac:dyDescent="0.2">
      <c r="H970" s="7"/>
      <c r="I970" s="8" t="str">
        <f>IF(H970="","",IF(AND(OR(K970="rafmagn",K970="vetni"),H970&lt;Stillingar!$B$2),"já","nei"))</f>
        <v/>
      </c>
      <c r="J970" s="9" t="str">
        <f>IF(H970="","",IF(I970="já",H970-Stillingar!$B$3,H970))</f>
        <v/>
      </c>
      <c r="N970" s="10"/>
      <c r="P970" s="10"/>
      <c r="S970" s="10"/>
      <c r="U970" s="11"/>
    </row>
    <row r="971" spans="8:21" x14ac:dyDescent="0.2">
      <c r="H971" s="7"/>
      <c r="I971" s="8" t="str">
        <f>IF(H971="","",IF(AND(OR(K971="rafmagn",K971="vetni"),H971&lt;Stillingar!$B$2),"já","nei"))</f>
        <v/>
      </c>
      <c r="J971" s="9" t="str">
        <f>IF(H971="","",IF(I971="já",H971-Stillingar!$B$3,H971))</f>
        <v/>
      </c>
      <c r="N971" s="10"/>
      <c r="P971" s="10"/>
      <c r="S971" s="10"/>
      <c r="U971" s="11"/>
    </row>
    <row r="972" spans="8:21" x14ac:dyDescent="0.2">
      <c r="H972" s="7"/>
      <c r="I972" s="8" t="str">
        <f>IF(H972="","",IF(AND(OR(K972="rafmagn",K972="vetni"),H972&lt;Stillingar!$B$2),"já","nei"))</f>
        <v/>
      </c>
      <c r="J972" s="9" t="str">
        <f>IF(H972="","",IF(I972="já",H972-Stillingar!$B$3,H972))</f>
        <v/>
      </c>
      <c r="N972" s="10"/>
      <c r="P972" s="10"/>
      <c r="S972" s="10"/>
      <c r="U972" s="11"/>
    </row>
    <row r="973" spans="8:21" x14ac:dyDescent="0.2">
      <c r="H973" s="7"/>
      <c r="I973" s="8" t="str">
        <f>IF(H973="","",IF(AND(OR(K973="rafmagn",K973="vetni"),H973&lt;Stillingar!$B$2),"já","nei"))</f>
        <v/>
      </c>
      <c r="J973" s="9" t="str">
        <f>IF(H973="","",IF(I973="já",H973-Stillingar!$B$3,H973))</f>
        <v/>
      </c>
      <c r="N973" s="10"/>
      <c r="P973" s="10"/>
      <c r="S973" s="10"/>
      <c r="U973" s="11"/>
    </row>
    <row r="974" spans="8:21" x14ac:dyDescent="0.2">
      <c r="H974" s="7"/>
      <c r="I974" s="8" t="str">
        <f>IF(H974="","",IF(AND(OR(K974="rafmagn",K974="vetni"),H974&lt;Stillingar!$B$2),"já","nei"))</f>
        <v/>
      </c>
      <c r="J974" s="9" t="str">
        <f>IF(H974="","",IF(I974="já",H974-Stillingar!$B$3,H974))</f>
        <v/>
      </c>
      <c r="N974" s="10"/>
      <c r="P974" s="10"/>
      <c r="S974" s="10"/>
      <c r="U974" s="11"/>
    </row>
    <row r="975" spans="8:21" x14ac:dyDescent="0.2">
      <c r="H975" s="7"/>
      <c r="I975" s="8" t="str">
        <f>IF(H975="","",IF(AND(OR(K975="rafmagn",K975="vetni"),H975&lt;Stillingar!$B$2),"já","nei"))</f>
        <v/>
      </c>
      <c r="J975" s="9" t="str">
        <f>IF(H975="","",IF(I975="já",H975-Stillingar!$B$3,H975))</f>
        <v/>
      </c>
      <c r="N975" s="10"/>
      <c r="P975" s="10"/>
      <c r="S975" s="10"/>
      <c r="U975" s="11"/>
    </row>
    <row r="976" spans="8:21" x14ac:dyDescent="0.2">
      <c r="H976" s="7"/>
      <c r="I976" s="8" t="str">
        <f>IF(H976="","",IF(AND(OR(K976="rafmagn",K976="vetni"),H976&lt;Stillingar!$B$2),"já","nei"))</f>
        <v/>
      </c>
      <c r="J976" s="9" t="str">
        <f>IF(H976="","",IF(I976="já",H976-Stillingar!$B$3,H976))</f>
        <v/>
      </c>
      <c r="N976" s="10"/>
      <c r="P976" s="10"/>
      <c r="S976" s="10"/>
      <c r="U976" s="11"/>
    </row>
    <row r="977" spans="8:21" x14ac:dyDescent="0.2">
      <c r="H977" s="7"/>
      <c r="I977" s="8" t="str">
        <f>IF(H977="","",IF(AND(OR(K977="rafmagn",K977="vetni"),H977&lt;Stillingar!$B$2),"já","nei"))</f>
        <v/>
      </c>
      <c r="J977" s="9" t="str">
        <f>IF(H977="","",IF(I977="já",H977-Stillingar!$B$3,H977))</f>
        <v/>
      </c>
      <c r="N977" s="10"/>
      <c r="P977" s="10"/>
      <c r="S977" s="10"/>
      <c r="U977" s="11"/>
    </row>
    <row r="978" spans="8:21" x14ac:dyDescent="0.2">
      <c r="H978" s="7"/>
      <c r="I978" s="8" t="str">
        <f>IF(H978="","",IF(AND(OR(K978="rafmagn",K978="vetni"),H978&lt;Stillingar!$B$2),"já","nei"))</f>
        <v/>
      </c>
      <c r="J978" s="9" t="str">
        <f>IF(H978="","",IF(I978="já",H978-Stillingar!$B$3,H978))</f>
        <v/>
      </c>
      <c r="N978" s="10"/>
      <c r="P978" s="10"/>
      <c r="S978" s="10"/>
      <c r="U978" s="11"/>
    </row>
    <row r="979" spans="8:21" x14ac:dyDescent="0.2">
      <c r="H979" s="7"/>
      <c r="I979" s="8" t="str">
        <f>IF(H979="","",IF(AND(OR(K979="rafmagn",K979="vetni"),H979&lt;Stillingar!$B$2),"já","nei"))</f>
        <v/>
      </c>
      <c r="J979" s="9" t="str">
        <f>IF(H979="","",IF(I979="já",H979-Stillingar!$B$3,H979))</f>
        <v/>
      </c>
      <c r="N979" s="10"/>
      <c r="P979" s="10"/>
      <c r="S979" s="10"/>
      <c r="U979" s="11"/>
    </row>
    <row r="980" spans="8:21" x14ac:dyDescent="0.2">
      <c r="H980" s="7"/>
      <c r="I980" s="8" t="str">
        <f>IF(H980="","",IF(AND(OR(K980="rafmagn",K980="vetni"),H980&lt;Stillingar!$B$2),"já","nei"))</f>
        <v/>
      </c>
      <c r="J980" s="9" t="str">
        <f>IF(H980="","",IF(I980="já",H980-Stillingar!$B$3,H980))</f>
        <v/>
      </c>
      <c r="N980" s="10"/>
      <c r="P980" s="10"/>
      <c r="S980" s="10"/>
      <c r="U980" s="11"/>
    </row>
    <row r="981" spans="8:21" x14ac:dyDescent="0.2">
      <c r="H981" s="7"/>
      <c r="I981" s="8" t="str">
        <f>IF(H981="","",IF(AND(OR(K981="rafmagn",K981="vetni"),H981&lt;Stillingar!$B$2),"já","nei"))</f>
        <v/>
      </c>
      <c r="J981" s="9" t="str">
        <f>IF(H981="","",IF(I981="já",H981-Stillingar!$B$3,H981))</f>
        <v/>
      </c>
      <c r="N981" s="10"/>
      <c r="P981" s="10"/>
      <c r="S981" s="10"/>
      <c r="U981" s="11"/>
    </row>
    <row r="982" spans="8:21" x14ac:dyDescent="0.2">
      <c r="H982" s="7"/>
      <c r="I982" s="8" t="str">
        <f>IF(H982="","",IF(AND(OR(K982="rafmagn",K982="vetni"),H982&lt;Stillingar!$B$2),"já","nei"))</f>
        <v/>
      </c>
      <c r="J982" s="9" t="str">
        <f>IF(H982="","",IF(I982="já",H982-Stillingar!$B$3,H982))</f>
        <v/>
      </c>
      <c r="N982" s="10"/>
      <c r="P982" s="10"/>
      <c r="S982" s="10"/>
      <c r="U982" s="11"/>
    </row>
    <row r="983" spans="8:21" x14ac:dyDescent="0.2">
      <c r="H983" s="7"/>
      <c r="I983" s="8" t="str">
        <f>IF(H983="","",IF(AND(OR(K983="rafmagn",K983="vetni"),H983&lt;Stillingar!$B$2),"já","nei"))</f>
        <v/>
      </c>
      <c r="J983" s="9" t="str">
        <f>IF(H983="","",IF(I983="já",H983-Stillingar!$B$3,H983))</f>
        <v/>
      </c>
      <c r="N983" s="10"/>
      <c r="P983" s="10"/>
      <c r="S983" s="10"/>
      <c r="U983" s="11"/>
    </row>
    <row r="984" spans="8:21" x14ac:dyDescent="0.2">
      <c r="H984" s="7"/>
      <c r="I984" s="8" t="str">
        <f>IF(H984="","",IF(AND(OR(K984="rafmagn",K984="vetni"),H984&lt;Stillingar!$B$2),"já","nei"))</f>
        <v/>
      </c>
      <c r="J984" s="9" t="str">
        <f>IF(H984="","",IF(I984="já",H984-Stillingar!$B$3,H984))</f>
        <v/>
      </c>
      <c r="N984" s="10"/>
      <c r="P984" s="10"/>
      <c r="S984" s="10"/>
      <c r="U984" s="11"/>
    </row>
    <row r="985" spans="8:21" x14ac:dyDescent="0.2">
      <c r="H985" s="7"/>
      <c r="I985" s="8" t="str">
        <f>IF(H985="","",IF(AND(OR(K985="rafmagn",K985="vetni"),H985&lt;Stillingar!$B$2),"já","nei"))</f>
        <v/>
      </c>
      <c r="J985" s="9" t="str">
        <f>IF(H985="","",IF(I985="já",H985-Stillingar!$B$3,H985))</f>
        <v/>
      </c>
      <c r="N985" s="10"/>
      <c r="P985" s="10"/>
      <c r="S985" s="10"/>
      <c r="U985" s="11"/>
    </row>
    <row r="986" spans="8:21" x14ac:dyDescent="0.2">
      <c r="H986" s="7"/>
      <c r="I986" s="8" t="str">
        <f>IF(H986="","",IF(AND(OR(K986="rafmagn",K986="vetni"),H986&lt;Stillingar!$B$2),"já","nei"))</f>
        <v/>
      </c>
      <c r="J986" s="9" t="str">
        <f>IF(H986="","",IF(I986="já",H986-Stillingar!$B$3,H986))</f>
        <v/>
      </c>
      <c r="N986" s="10"/>
      <c r="P986" s="10"/>
      <c r="S986" s="10"/>
      <c r="U986" s="11"/>
    </row>
    <row r="987" spans="8:21" x14ac:dyDescent="0.2">
      <c r="H987" s="7"/>
      <c r="I987" s="8" t="str">
        <f>IF(H987="","",IF(AND(OR(K987="rafmagn",K987="vetni"),H987&lt;Stillingar!$B$2),"já","nei"))</f>
        <v/>
      </c>
      <c r="J987" s="9" t="str">
        <f>IF(H987="","",IF(I987="já",H987-Stillingar!$B$3,H987))</f>
        <v/>
      </c>
      <c r="N987" s="10"/>
      <c r="P987" s="10"/>
      <c r="S987" s="10"/>
      <c r="U987" s="11"/>
    </row>
    <row r="988" spans="8:21" x14ac:dyDescent="0.2">
      <c r="H988" s="7"/>
      <c r="I988" s="8" t="str">
        <f>IF(H988="","",IF(AND(OR(K988="rafmagn",K988="vetni"),H988&lt;Stillingar!$B$2),"já","nei"))</f>
        <v/>
      </c>
      <c r="J988" s="9" t="str">
        <f>IF(H988="","",IF(I988="já",H988-Stillingar!$B$3,H988))</f>
        <v/>
      </c>
      <c r="N988" s="10"/>
      <c r="P988" s="10"/>
      <c r="S988" s="10"/>
      <c r="U988" s="11"/>
    </row>
    <row r="989" spans="8:21" x14ac:dyDescent="0.2">
      <c r="H989" s="7"/>
      <c r="I989" s="8" t="str">
        <f>IF(H989="","",IF(AND(OR(K989="rafmagn",K989="vetni"),H989&lt;Stillingar!$B$2),"já","nei"))</f>
        <v/>
      </c>
      <c r="J989" s="9" t="str">
        <f>IF(H989="","",IF(I989="já",H989-Stillingar!$B$3,H989))</f>
        <v/>
      </c>
      <c r="N989" s="10"/>
      <c r="P989" s="10"/>
      <c r="S989" s="10"/>
      <c r="U989" s="11"/>
    </row>
    <row r="990" spans="8:21" x14ac:dyDescent="0.2">
      <c r="H990" s="7"/>
      <c r="I990" s="8" t="str">
        <f>IF(H990="","",IF(AND(OR(K990="rafmagn",K990="vetni"),H990&lt;Stillingar!$B$2),"já","nei"))</f>
        <v/>
      </c>
      <c r="J990" s="9" t="str">
        <f>IF(H990="","",IF(I990="já",H990-Stillingar!$B$3,H990))</f>
        <v/>
      </c>
      <c r="N990" s="10"/>
      <c r="P990" s="10"/>
      <c r="S990" s="10"/>
      <c r="U990" s="11"/>
    </row>
    <row r="991" spans="8:21" x14ac:dyDescent="0.2">
      <c r="H991" s="7"/>
      <c r="I991" s="8" t="str">
        <f>IF(H991="","",IF(AND(OR(K991="rafmagn",K991="vetni"),H991&lt;Stillingar!$B$2),"já","nei"))</f>
        <v/>
      </c>
      <c r="J991" s="9" t="str">
        <f>IF(H991="","",IF(I991="já",H991-Stillingar!$B$3,H991))</f>
        <v/>
      </c>
      <c r="N991" s="10"/>
      <c r="P991" s="10"/>
      <c r="S991" s="10"/>
      <c r="U991" s="11"/>
    </row>
    <row r="992" spans="8:21" x14ac:dyDescent="0.2">
      <c r="H992" s="7"/>
      <c r="I992" s="8" t="str">
        <f>IF(H992="","",IF(AND(OR(K992="rafmagn",K992="vetni"),H992&lt;Stillingar!$B$2),"já","nei"))</f>
        <v/>
      </c>
      <c r="J992" s="9" t="str">
        <f>IF(H992="","",IF(I992="já",H992-Stillingar!$B$3,H992))</f>
        <v/>
      </c>
      <c r="N992" s="10"/>
      <c r="P992" s="10"/>
      <c r="S992" s="10"/>
      <c r="U992" s="11"/>
    </row>
    <row r="993" spans="8:21" x14ac:dyDescent="0.2">
      <c r="H993" s="7"/>
      <c r="I993" s="8" t="str">
        <f>IF(H993="","",IF(AND(OR(K993="rafmagn",K993="vetni"),H993&lt;Stillingar!$B$2),"já","nei"))</f>
        <v/>
      </c>
      <c r="J993" s="9" t="str">
        <f>IF(H993="","",IF(I993="já",H993-Stillingar!$B$3,H993))</f>
        <v/>
      </c>
      <c r="N993" s="10"/>
      <c r="P993" s="10"/>
      <c r="S993" s="10"/>
      <c r="U993" s="11"/>
    </row>
    <row r="994" spans="8:21" x14ac:dyDescent="0.2">
      <c r="H994" s="7"/>
      <c r="I994" s="8" t="str">
        <f>IF(H994="","",IF(AND(OR(K994="rafmagn",K994="vetni"),H994&lt;Stillingar!$B$2),"já","nei"))</f>
        <v/>
      </c>
      <c r="J994" s="9" t="str">
        <f>IF(H994="","",IF(I994="já",H994-Stillingar!$B$3,H994))</f>
        <v/>
      </c>
      <c r="N994" s="10"/>
      <c r="P994" s="10"/>
      <c r="S994" s="10"/>
      <c r="U994" s="11"/>
    </row>
    <row r="995" spans="8:21" x14ac:dyDescent="0.2">
      <c r="H995" s="7"/>
      <c r="I995" s="8" t="str">
        <f>IF(H995="","",IF(AND(OR(K995="rafmagn",K995="vetni"),H995&lt;Stillingar!$B$2),"já","nei"))</f>
        <v/>
      </c>
      <c r="J995" s="9" t="str">
        <f>IF(H995="","",IF(I995="já",H995-Stillingar!$B$3,H995))</f>
        <v/>
      </c>
      <c r="N995" s="10"/>
      <c r="P995" s="10"/>
      <c r="S995" s="10"/>
      <c r="U995" s="11"/>
    </row>
    <row r="996" spans="8:21" x14ac:dyDescent="0.2">
      <c r="H996" s="7"/>
      <c r="I996" s="8" t="str">
        <f>IF(H996="","",IF(AND(OR(K996="rafmagn",K996="vetni"),H996&lt;Stillingar!$B$2),"já","nei"))</f>
        <v/>
      </c>
      <c r="J996" s="9" t="str">
        <f>IF(H996="","",IF(I996="já",H996-Stillingar!$B$3,H996))</f>
        <v/>
      </c>
      <c r="N996" s="10"/>
      <c r="P996" s="10"/>
      <c r="S996" s="10"/>
      <c r="U996" s="11"/>
    </row>
    <row r="997" spans="8:21" x14ac:dyDescent="0.2">
      <c r="H997" s="7"/>
      <c r="I997" s="8" t="str">
        <f>IF(H997="","",IF(AND(OR(K997="rafmagn",K997="vetni"),H997&lt;Stillingar!$B$2),"já","nei"))</f>
        <v/>
      </c>
      <c r="J997" s="9" t="str">
        <f>IF(H997="","",IF(I997="já",H997-Stillingar!$B$3,H997))</f>
        <v/>
      </c>
      <c r="N997" s="10"/>
      <c r="P997" s="10"/>
      <c r="S997" s="10"/>
      <c r="U997" s="11"/>
    </row>
    <row r="998" spans="8:21" x14ac:dyDescent="0.2">
      <c r="H998" s="7"/>
      <c r="I998" s="8" t="str">
        <f>IF(H998="","",IF(AND(OR(K998="rafmagn",K998="vetni"),H998&lt;Stillingar!$B$2),"já","nei"))</f>
        <v/>
      </c>
      <c r="J998" s="9" t="str">
        <f>IF(H998="","",IF(I998="já",H998-Stillingar!$B$3,H998))</f>
        <v/>
      </c>
      <c r="N998" s="10"/>
      <c r="P998" s="10"/>
      <c r="S998" s="10"/>
      <c r="U998" s="11"/>
    </row>
    <row r="999" spans="8:21" x14ac:dyDescent="0.2">
      <c r="H999" s="7"/>
      <c r="I999" s="8" t="str">
        <f>IF(H999="","",IF(AND(OR(K999="rafmagn",K999="vetni"),H999&lt;Stillingar!$B$2),"já","nei"))</f>
        <v/>
      </c>
      <c r="J999" s="9" t="str">
        <f>IF(H999="","",IF(I999="já",H999-Stillingar!$B$3,H999))</f>
        <v/>
      </c>
      <c r="N999" s="10"/>
      <c r="P999" s="10"/>
      <c r="S999" s="10"/>
      <c r="U999" s="11"/>
    </row>
    <row r="1000" spans="8:21" x14ac:dyDescent="0.2">
      <c r="H1000" s="7"/>
      <c r="I1000" s="8" t="str">
        <f>IF(H1000="","",IF(AND(OR(K1000="rafmagn",K1000="vetni"),H1000&lt;Stillingar!$B$2),"já","nei"))</f>
        <v/>
      </c>
      <c r="J1000" s="9" t="str">
        <f>IF(H1000="","",IF(I1000="já",H1000-Stillingar!$B$3,H1000))</f>
        <v/>
      </c>
      <c r="N1000" s="10"/>
      <c r="P1000" s="10"/>
      <c r="S1000" s="10"/>
      <c r="U1000" s="11"/>
    </row>
  </sheetData>
  <autoFilter ref="A1:V2" xr:uid="{00000000-0009-0000-0000-000000000000}"/>
  <phoneticPr fontId="12" type="noConversion"/>
  <hyperlinks>
    <hyperlink ref="T2" r:id="rId1" xr:uid="{ED92A3D4-6C48-644F-9770-20009D923435}"/>
    <hyperlink ref="T3" r:id="rId2" xr:uid="{74CA3689-83C7-AB42-8F34-35C0E140DCD2}"/>
    <hyperlink ref="T4" r:id="rId3" xr:uid="{ED19554D-BD6C-434F-B8FD-B82E9DED29E6}"/>
    <hyperlink ref="T5" r:id="rId4" xr:uid="{B1A78B6C-2CF6-3641-9C3F-63DE6822D710}"/>
    <hyperlink ref="T6" r:id="rId5" xr:uid="{F5FA1CC7-E0EC-F349-88BA-89D062889A0E}"/>
  </hyperlinks>
  <pageMargins left="0.75" right="0.75" top="1" bottom="1" header="0.511811023622047" footer="0.511811023622047"/>
  <pageSetup paperSize="9" orientation="portrait" horizontalDpi="300" verticalDpi="300"/>
  <legacyDrawing r:id="rId6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Ógilt gildi" error="Veldu gildi úr listanum (eða bættu því við í flipanum Listar/Umboð)." xr:uid="{00000000-0002-0000-0000-000000000000}">
          <x14:formula1>
            <xm:f>Listar!$A$2:$A$50</xm:f>
          </x14:formula1>
          <x14:formula2>
            <xm:f>0</xm:f>
          </x14:formula2>
          <xm:sqref>F2:F1000</xm:sqref>
        </x14:dataValidation>
        <x14:dataValidation type="list" allowBlank="1" showErrorMessage="1" errorTitle="Ógilt gildi" error="Veldu gildi úr listanum (eða bættu því við í flipanum Listar/Umboð)." xr:uid="{00000000-0002-0000-0000-000001000000}">
          <x14:formula1>
            <xm:f>Listar!$B$2:$B$50</xm:f>
          </x14:formula1>
          <x14:formula2>
            <xm:f>0</xm:f>
          </x14:formula2>
          <xm:sqref>K2:K1000</xm:sqref>
        </x14:dataValidation>
        <x14:dataValidation type="list" allowBlank="1" showErrorMessage="1" errorTitle="Ógilt gildi" error="Veldu gildi úr listanum (eða bættu því við í flipanum Listar/Umboð)." xr:uid="{00000000-0002-0000-0000-000002000000}">
          <x14:formula1>
            <xm:f>Listar!$C$2:$C$50</xm:f>
          </x14:formula1>
          <x14:formula2>
            <xm:f>0</xm:f>
          </x14:formula2>
          <xm:sqref>L2:L1000</xm:sqref>
        </x14:dataValidation>
        <x14:dataValidation type="list" allowBlank="1" showErrorMessage="1" errorTitle="Ógilt gildi" error="Veldu gildi úr listanum (eða bættu því við í flipanum Listar/Umboð)." xr:uid="{00000000-0002-0000-0000-000003000000}">
          <x14:formula1>
            <xm:f>Umboð!$A$2:$A$100</xm:f>
          </x14:formula1>
          <x14:formula2>
            <xm:f>0</xm:f>
          </x14:formula2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="110" zoomScaleNormal="110" workbookViewId="0"/>
  </sheetViews>
  <sheetFormatPr baseColWidth="10" defaultColWidth="8.6640625" defaultRowHeight="15" x14ac:dyDescent="0.2"/>
  <cols>
    <col min="1" max="1" width="18" customWidth="1"/>
    <col min="2" max="2" width="60" customWidth="1"/>
    <col min="3" max="3" width="14" customWidth="1"/>
    <col min="4" max="4" width="18" customWidth="1"/>
    <col min="5" max="5" width="8" customWidth="1"/>
  </cols>
  <sheetData>
    <row r="1" spans="1:5" ht="18" x14ac:dyDescent="0.2">
      <c r="A1" s="12" t="s">
        <v>30</v>
      </c>
    </row>
    <row r="3" spans="1:5" x14ac:dyDescent="0.2">
      <c r="A3" s="13" t="s">
        <v>31</v>
      </c>
    </row>
    <row r="4" spans="1:5" x14ac:dyDescent="0.2">
      <c r="A4" s="13" t="s">
        <v>32</v>
      </c>
    </row>
    <row r="5" spans="1:5" x14ac:dyDescent="0.2">
      <c r="A5" s="13" t="s">
        <v>33</v>
      </c>
    </row>
    <row r="6" spans="1:5" x14ac:dyDescent="0.2">
      <c r="A6" s="13" t="s">
        <v>34</v>
      </c>
    </row>
    <row r="7" spans="1:5" x14ac:dyDescent="0.2">
      <c r="A7" s="13" t="s">
        <v>35</v>
      </c>
    </row>
    <row r="8" spans="1:5" x14ac:dyDescent="0.2">
      <c r="A8" s="13" t="s">
        <v>36</v>
      </c>
    </row>
    <row r="9" spans="1:5" x14ac:dyDescent="0.2">
      <c r="A9" s="13" t="s">
        <v>37</v>
      </c>
    </row>
    <row r="10" spans="1:5" x14ac:dyDescent="0.2">
      <c r="A10" s="13" t="s">
        <v>38</v>
      </c>
    </row>
    <row r="12" spans="1:5" x14ac:dyDescent="0.2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</row>
    <row r="13" spans="1:5" x14ac:dyDescent="0.2">
      <c r="A13" s="14" t="s">
        <v>0</v>
      </c>
      <c r="B13" s="15" t="s">
        <v>44</v>
      </c>
      <c r="C13" s="15" t="s">
        <v>45</v>
      </c>
      <c r="D13" s="15" t="s">
        <v>22</v>
      </c>
      <c r="E13" s="15" t="s">
        <v>46</v>
      </c>
    </row>
    <row r="14" spans="1:5" x14ac:dyDescent="0.2">
      <c r="A14" s="14" t="s">
        <v>1</v>
      </c>
      <c r="B14" s="15" t="s">
        <v>47</v>
      </c>
      <c r="C14" s="15" t="s">
        <v>45</v>
      </c>
      <c r="D14" s="15" t="s">
        <v>23</v>
      </c>
      <c r="E14" s="15" t="s">
        <v>46</v>
      </c>
    </row>
    <row r="15" spans="1:5" x14ac:dyDescent="0.2">
      <c r="A15" s="14" t="s">
        <v>2</v>
      </c>
      <c r="B15" s="15" t="s">
        <v>48</v>
      </c>
      <c r="C15" s="15" t="s">
        <v>45</v>
      </c>
      <c r="D15" s="15" t="s">
        <v>24</v>
      </c>
      <c r="E15" s="15" t="s">
        <v>46</v>
      </c>
    </row>
    <row r="16" spans="1:5" x14ac:dyDescent="0.2">
      <c r="A16" s="14" t="s">
        <v>3</v>
      </c>
      <c r="B16" s="15" t="s">
        <v>49</v>
      </c>
      <c r="C16" s="15" t="s">
        <v>45</v>
      </c>
      <c r="D16" s="15" t="s">
        <v>25</v>
      </c>
      <c r="E16" s="15" t="s">
        <v>46</v>
      </c>
    </row>
    <row r="17" spans="1:5" x14ac:dyDescent="0.2">
      <c r="A17" s="14" t="s">
        <v>4</v>
      </c>
      <c r="B17" s="15" t="s">
        <v>50</v>
      </c>
      <c r="C17" s="15" t="s">
        <v>51</v>
      </c>
      <c r="D17" s="15" t="s">
        <v>26</v>
      </c>
      <c r="E17" s="15" t="s">
        <v>46</v>
      </c>
    </row>
    <row r="18" spans="1:5" x14ac:dyDescent="0.2">
      <c r="A18" s="14" t="s">
        <v>5</v>
      </c>
      <c r="B18" s="15" t="s">
        <v>52</v>
      </c>
      <c r="C18" s="15" t="s">
        <v>51</v>
      </c>
      <c r="D18" s="15" t="s">
        <v>27</v>
      </c>
      <c r="E18" s="15" t="s">
        <v>46</v>
      </c>
    </row>
    <row r="19" spans="1:5" x14ac:dyDescent="0.2">
      <c r="A19" s="14" t="s">
        <v>6</v>
      </c>
      <c r="B19" s="15" t="s">
        <v>53</v>
      </c>
      <c r="C19" s="15" t="s">
        <v>54</v>
      </c>
      <c r="D19" s="15" t="s">
        <v>55</v>
      </c>
      <c r="E19" s="15" t="s">
        <v>46</v>
      </c>
    </row>
    <row r="20" spans="1:5" x14ac:dyDescent="0.2">
      <c r="A20" s="14" t="s">
        <v>7</v>
      </c>
      <c r="B20" s="15" t="s">
        <v>56</v>
      </c>
      <c r="C20" s="15" t="s">
        <v>57</v>
      </c>
      <c r="D20" s="15" t="s">
        <v>58</v>
      </c>
      <c r="E20" s="15" t="s">
        <v>46</v>
      </c>
    </row>
    <row r="21" spans="1:5" ht="30" x14ac:dyDescent="0.2">
      <c r="A21" s="14" t="s">
        <v>8</v>
      </c>
      <c r="B21" s="15" t="s">
        <v>59</v>
      </c>
      <c r="C21" s="15" t="s">
        <v>60</v>
      </c>
      <c r="D21" s="15" t="s">
        <v>61</v>
      </c>
      <c r="E21" s="15" t="s">
        <v>62</v>
      </c>
    </row>
    <row r="22" spans="1:5" ht="30" x14ac:dyDescent="0.2">
      <c r="A22" s="14" t="s">
        <v>9</v>
      </c>
      <c r="B22" s="15" t="s">
        <v>63</v>
      </c>
      <c r="C22" s="15" t="s">
        <v>64</v>
      </c>
      <c r="D22" s="15" t="s">
        <v>65</v>
      </c>
      <c r="E22" s="15" t="s">
        <v>62</v>
      </c>
    </row>
    <row r="23" spans="1:5" x14ac:dyDescent="0.2">
      <c r="A23" s="14" t="s">
        <v>10</v>
      </c>
      <c r="B23" s="15" t="s">
        <v>66</v>
      </c>
      <c r="C23" s="15" t="s">
        <v>51</v>
      </c>
      <c r="D23" s="15" t="s">
        <v>28</v>
      </c>
      <c r="E23" s="15" t="s">
        <v>46</v>
      </c>
    </row>
    <row r="24" spans="1:5" x14ac:dyDescent="0.2">
      <c r="A24" s="14" t="s">
        <v>11</v>
      </c>
      <c r="B24" s="15" t="s">
        <v>67</v>
      </c>
      <c r="C24" s="15" t="s">
        <v>51</v>
      </c>
      <c r="D24" s="15" t="s">
        <v>29</v>
      </c>
      <c r="E24" s="15" t="s">
        <v>46</v>
      </c>
    </row>
    <row r="25" spans="1:5" x14ac:dyDescent="0.2">
      <c r="A25" s="14" t="s">
        <v>12</v>
      </c>
      <c r="B25" s="15" t="s">
        <v>68</v>
      </c>
      <c r="C25" s="15" t="s">
        <v>69</v>
      </c>
      <c r="D25" s="15" t="s">
        <v>70</v>
      </c>
      <c r="E25" s="15" t="s">
        <v>71</v>
      </c>
    </row>
    <row r="26" spans="1:5" x14ac:dyDescent="0.2">
      <c r="A26" s="14" t="s">
        <v>13</v>
      </c>
      <c r="B26" s="15" t="s">
        <v>72</v>
      </c>
      <c r="C26" s="15" t="s">
        <v>73</v>
      </c>
      <c r="D26" s="15" t="s">
        <v>74</v>
      </c>
      <c r="E26" s="15" t="s">
        <v>71</v>
      </c>
    </row>
    <row r="27" spans="1:5" x14ac:dyDescent="0.2">
      <c r="A27" s="14" t="s">
        <v>14</v>
      </c>
      <c r="B27" s="15" t="s">
        <v>75</v>
      </c>
      <c r="C27" s="15" t="s">
        <v>76</v>
      </c>
      <c r="D27" s="15" t="s">
        <v>77</v>
      </c>
      <c r="E27" s="15" t="s">
        <v>71</v>
      </c>
    </row>
    <row r="28" spans="1:5" x14ac:dyDescent="0.2">
      <c r="A28" s="14" t="s">
        <v>15</v>
      </c>
      <c r="B28" s="15" t="s">
        <v>78</v>
      </c>
      <c r="C28" s="15" t="s">
        <v>79</v>
      </c>
      <c r="D28" s="15"/>
      <c r="E28" s="15" t="s">
        <v>71</v>
      </c>
    </row>
    <row r="29" spans="1:5" x14ac:dyDescent="0.2">
      <c r="A29" s="14" t="s">
        <v>16</v>
      </c>
      <c r="B29" s="15" t="s">
        <v>80</v>
      </c>
      <c r="C29" s="15" t="s">
        <v>81</v>
      </c>
      <c r="D29" s="15" t="s">
        <v>82</v>
      </c>
      <c r="E29" s="15" t="s">
        <v>71</v>
      </c>
    </row>
    <row r="30" spans="1:5" x14ac:dyDescent="0.2">
      <c r="A30" s="14" t="s">
        <v>17</v>
      </c>
      <c r="B30" s="15" t="s">
        <v>83</v>
      </c>
      <c r="C30" s="15" t="s">
        <v>84</v>
      </c>
      <c r="D30" s="15" t="s">
        <v>85</v>
      </c>
      <c r="E30" s="15" t="s">
        <v>71</v>
      </c>
    </row>
    <row r="31" spans="1:5" x14ac:dyDescent="0.2">
      <c r="A31" s="14" t="s">
        <v>18</v>
      </c>
      <c r="B31" s="15" t="s">
        <v>86</v>
      </c>
      <c r="C31" s="15" t="s">
        <v>87</v>
      </c>
      <c r="D31" s="15" t="s">
        <v>88</v>
      </c>
      <c r="E31" s="15" t="s">
        <v>71</v>
      </c>
    </row>
    <row r="32" spans="1:5" x14ac:dyDescent="0.2">
      <c r="A32" s="14" t="s">
        <v>19</v>
      </c>
      <c r="B32" s="15" t="s">
        <v>89</v>
      </c>
      <c r="C32" s="15" t="s">
        <v>90</v>
      </c>
      <c r="D32" s="15" t="s">
        <v>91</v>
      </c>
      <c r="E32" s="15" t="s">
        <v>46</v>
      </c>
    </row>
    <row r="33" spans="1:5" x14ac:dyDescent="0.2">
      <c r="A33" s="14" t="s">
        <v>20</v>
      </c>
      <c r="B33" s="15" t="s">
        <v>92</v>
      </c>
      <c r="C33" s="15" t="s">
        <v>93</v>
      </c>
      <c r="D33" s="15" t="s">
        <v>94</v>
      </c>
      <c r="E33" s="15" t="s">
        <v>46</v>
      </c>
    </row>
    <row r="34" spans="1:5" x14ac:dyDescent="0.2">
      <c r="A34" s="14" t="s">
        <v>21</v>
      </c>
      <c r="B34" s="15" t="s">
        <v>95</v>
      </c>
      <c r="C34" s="15" t="s">
        <v>45</v>
      </c>
      <c r="D34" s="15"/>
      <c r="E34" s="15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110" zoomScaleNormal="110" workbookViewId="0"/>
  </sheetViews>
  <sheetFormatPr baseColWidth="10" defaultColWidth="8.6640625" defaultRowHeight="15" x14ac:dyDescent="0.2"/>
  <cols>
    <col min="1" max="1" width="42" customWidth="1"/>
    <col min="2" max="2" width="16" customWidth="1"/>
  </cols>
  <sheetData>
    <row r="1" spans="1:2" ht="16" x14ac:dyDescent="0.2">
      <c r="A1" s="16" t="s">
        <v>96</v>
      </c>
    </row>
    <row r="2" spans="1:2" x14ac:dyDescent="0.2">
      <c r="A2" s="13" t="s">
        <v>97</v>
      </c>
      <c r="B2" s="17">
        <v>10000000</v>
      </c>
    </row>
    <row r="3" spans="1:2" x14ac:dyDescent="0.2">
      <c r="A3" s="13" t="s">
        <v>98</v>
      </c>
      <c r="B3" s="17">
        <v>500000</v>
      </c>
    </row>
    <row r="5" spans="1:2" x14ac:dyDescent="0.2">
      <c r="A5" s="18" t="s">
        <v>99</v>
      </c>
    </row>
    <row r="6" spans="1:2" x14ac:dyDescent="0.2">
      <c r="A6" s="18" t="s">
        <v>100</v>
      </c>
    </row>
    <row r="7" spans="1:2" x14ac:dyDescent="0.2">
      <c r="A7" s="18" t="s">
        <v>101</v>
      </c>
    </row>
    <row r="8" spans="1:2" x14ac:dyDescent="0.2">
      <c r="A8" s="18" t="s">
        <v>102</v>
      </c>
    </row>
    <row r="9" spans="1:2" x14ac:dyDescent="0.2">
      <c r="A9" s="18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zoomScale="110" zoomScaleNormal="110" workbookViewId="0">
      <pane ySplit="1" topLeftCell="A2" activePane="bottomLeft" state="frozen"/>
      <selection pane="bottomLeft" activeCell="A4" sqref="A4"/>
    </sheetView>
  </sheetViews>
  <sheetFormatPr baseColWidth="10" defaultColWidth="8.6640625" defaultRowHeight="15" x14ac:dyDescent="0.2"/>
  <cols>
    <col min="1" max="1" width="14" customWidth="1"/>
    <col min="2" max="2" width="20" customWidth="1"/>
    <col min="3" max="3" width="32" customWidth="1"/>
  </cols>
  <sheetData>
    <row r="1" spans="1:5" x14ac:dyDescent="0.2">
      <c r="A1" s="1" t="s">
        <v>0</v>
      </c>
      <c r="B1" s="1" t="s">
        <v>104</v>
      </c>
      <c r="C1" s="1" t="s">
        <v>105</v>
      </c>
      <c r="E1" s="18" t="s">
        <v>106</v>
      </c>
    </row>
    <row r="2" spans="1:5" x14ac:dyDescent="0.2">
      <c r="A2" s="3" t="s">
        <v>26</v>
      </c>
      <c r="B2" s="3" t="s">
        <v>107</v>
      </c>
      <c r="C2" s="3" t="s">
        <v>108</v>
      </c>
    </row>
    <row r="3" spans="1:5" x14ac:dyDescent="0.2">
      <c r="A3" t="s">
        <v>137</v>
      </c>
      <c r="B3" t="s">
        <v>138</v>
      </c>
      <c r="C3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zoomScale="110" zoomScaleNormal="110" workbookViewId="0"/>
  </sheetViews>
  <sheetFormatPr baseColWidth="10" defaultColWidth="8.6640625" defaultRowHeight="15" x14ac:dyDescent="0.2"/>
  <cols>
    <col min="1" max="3" width="18" customWidth="1"/>
  </cols>
  <sheetData>
    <row r="1" spans="1:5" x14ac:dyDescent="0.2">
      <c r="A1" s="1" t="s">
        <v>5</v>
      </c>
      <c r="B1" s="1" t="s">
        <v>10</v>
      </c>
      <c r="C1" s="1" t="s">
        <v>11</v>
      </c>
      <c r="E1" s="18" t="s">
        <v>109</v>
      </c>
    </row>
    <row r="2" spans="1:5" x14ac:dyDescent="0.2">
      <c r="A2" s="13" t="s">
        <v>110</v>
      </c>
      <c r="B2" s="13" t="s">
        <v>28</v>
      </c>
      <c r="C2" s="13" t="s">
        <v>29</v>
      </c>
    </row>
    <row r="3" spans="1:5" x14ac:dyDescent="0.2">
      <c r="A3" s="13" t="s">
        <v>111</v>
      </c>
      <c r="B3" s="13" t="s">
        <v>112</v>
      </c>
      <c r="C3" s="13" t="s">
        <v>113</v>
      </c>
    </row>
    <row r="4" spans="1:5" x14ac:dyDescent="0.2">
      <c r="A4" s="13" t="s">
        <v>114</v>
      </c>
      <c r="B4" s="13" t="s">
        <v>115</v>
      </c>
      <c r="C4" s="13" t="s">
        <v>116</v>
      </c>
    </row>
    <row r="5" spans="1:5" x14ac:dyDescent="0.2">
      <c r="A5" s="13" t="s">
        <v>27</v>
      </c>
      <c r="B5" s="13" t="s">
        <v>117</v>
      </c>
    </row>
    <row r="6" spans="1:5" x14ac:dyDescent="0.2">
      <c r="A6" s="13" t="s">
        <v>118</v>
      </c>
      <c r="B6" s="13" t="s">
        <v>119</v>
      </c>
    </row>
    <row r="7" spans="1:5" x14ac:dyDescent="0.2">
      <c r="A7" s="13" t="s">
        <v>120</v>
      </c>
      <c r="B7" s="13" t="s">
        <v>121</v>
      </c>
    </row>
    <row r="8" spans="1:5" x14ac:dyDescent="0.2">
      <c r="A8" s="13" t="s">
        <v>122</v>
      </c>
    </row>
    <row r="9" spans="1:5" x14ac:dyDescent="0.2">
      <c r="A9" s="13" t="s">
        <v>123</v>
      </c>
    </row>
    <row r="10" spans="1:5" x14ac:dyDescent="0.2">
      <c r="A10" s="13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Útfærslur</vt:lpstr>
      <vt:lpstr>Leiðbeiningar</vt:lpstr>
      <vt:lpstr>Stillingar</vt:lpstr>
      <vt:lpstr>Umboð</vt:lpstr>
      <vt:lpstr>Listar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Haukur Ingi Jóhannsson</cp:lastModifiedBy>
  <cp:revision>0</cp:revision>
  <dcterms:created xsi:type="dcterms:W3CDTF">2026-09-22T22:30:29Z</dcterms:created>
  <dcterms:modified xsi:type="dcterms:W3CDTF">2026-09-23T10:22:48Z</dcterms:modified>
  <dc:language>en-US</dc:language>
</cp:coreProperties>
</file>